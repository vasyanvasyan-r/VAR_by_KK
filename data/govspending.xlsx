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epan\Documents\George\MSU\5_курс\VAR\модели\"/>
    </mc:Choice>
  </mc:AlternateContent>
  <bookViews>
    <workbookView xWindow="0" yWindow="0" windowWidth="19200" windowHeight="7812"/>
  </bookViews>
  <sheets>
    <sheet name="Лист1" sheetId="1" r:id="rId1"/>
    <sheet name="Лист2" sheetId="2" r:id="rId2"/>
    <sheet name="Сезонно скорректированные" sheetId="3" r:id="rId3"/>
    <sheet name="Сезонно скорректированные2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5" i="1" l="1"/>
  <c r="B146" i="1"/>
  <c r="B147" i="1"/>
  <c r="B144" i="1"/>
  <c r="B142" i="1"/>
  <c r="B143" i="1"/>
  <c r="C146" i="1"/>
  <c r="C142" i="1"/>
  <c r="C143" i="1"/>
  <c r="C144" i="1"/>
  <c r="C145" i="1"/>
  <c r="C141" i="1"/>
  <c r="C147" i="1"/>
  <c r="C135" i="1"/>
  <c r="D147" i="1"/>
  <c r="E147" i="1"/>
  <c r="E141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3" i="1"/>
  <c r="C140" i="1"/>
  <c r="C139" i="1"/>
  <c r="C138" i="1"/>
  <c r="C137" i="1"/>
  <c r="C136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16" i="1"/>
  <c r="C15" i="1"/>
  <c r="C26" i="1"/>
  <c r="C25" i="1"/>
  <c r="C24" i="1"/>
  <c r="C23" i="1"/>
  <c r="C22" i="1"/>
  <c r="C21" i="1"/>
  <c r="C20" i="1"/>
  <c r="C19" i="1"/>
  <c r="C18" i="1"/>
  <c r="C17" i="1"/>
  <c r="D4" i="1"/>
  <c r="E4" i="1"/>
  <c r="C4" i="1" s="1"/>
  <c r="D5" i="1"/>
  <c r="E5" i="1"/>
  <c r="C5" i="1" s="1"/>
  <c r="D6" i="1"/>
  <c r="E6" i="1"/>
  <c r="C6" i="1" s="1"/>
  <c r="D7" i="1"/>
  <c r="E7" i="1"/>
  <c r="C7" i="1" s="1"/>
  <c r="D8" i="1"/>
  <c r="E8" i="1"/>
  <c r="C8" i="1" s="1"/>
  <c r="D9" i="1"/>
  <c r="E9" i="1"/>
  <c r="C9" i="1" s="1"/>
  <c r="D10" i="1"/>
  <c r="E10" i="1"/>
  <c r="C10" i="1" s="1"/>
  <c r="D11" i="1"/>
  <c r="E11" i="1"/>
  <c r="C11" i="1" s="1"/>
  <c r="D12" i="1"/>
  <c r="E12" i="1"/>
  <c r="C12" i="1" s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D37" i="1"/>
  <c r="E37" i="1"/>
  <c r="D38" i="1"/>
  <c r="E38" i="1"/>
  <c r="D39" i="1"/>
  <c r="E39" i="1"/>
  <c r="D40" i="1"/>
  <c r="E40" i="1"/>
  <c r="D41" i="1"/>
  <c r="E41" i="1"/>
  <c r="D42" i="1"/>
  <c r="E42" i="1"/>
  <c r="D43" i="1"/>
  <c r="E43" i="1"/>
  <c r="D44" i="1"/>
  <c r="E44" i="1"/>
  <c r="D45" i="1"/>
  <c r="E45" i="1"/>
  <c r="D46" i="1"/>
  <c r="E46" i="1"/>
  <c r="D47" i="1"/>
  <c r="E47" i="1"/>
  <c r="D48" i="1"/>
  <c r="E48" i="1"/>
  <c r="D49" i="1"/>
  <c r="E49" i="1"/>
  <c r="D50" i="1"/>
  <c r="E50" i="1"/>
  <c r="D51" i="1"/>
  <c r="E51" i="1"/>
  <c r="D52" i="1"/>
  <c r="E52" i="1"/>
  <c r="D53" i="1"/>
  <c r="E53" i="1"/>
  <c r="D54" i="1"/>
  <c r="E54" i="1"/>
  <c r="D55" i="1"/>
  <c r="E55" i="1"/>
  <c r="D56" i="1"/>
  <c r="E56" i="1"/>
  <c r="D57" i="1"/>
  <c r="E57" i="1"/>
  <c r="D58" i="1"/>
  <c r="E58" i="1"/>
  <c r="D59" i="1"/>
  <c r="E59" i="1"/>
  <c r="D60" i="1"/>
  <c r="E60" i="1"/>
  <c r="D61" i="1"/>
  <c r="E61" i="1"/>
  <c r="D62" i="1"/>
  <c r="E62" i="1"/>
  <c r="D63" i="1"/>
  <c r="E63" i="1"/>
  <c r="D64" i="1"/>
  <c r="E64" i="1"/>
  <c r="D65" i="1"/>
  <c r="E65" i="1"/>
  <c r="D66" i="1"/>
  <c r="E66" i="1"/>
  <c r="D67" i="1"/>
  <c r="E67" i="1"/>
  <c r="D68" i="1"/>
  <c r="E68" i="1"/>
  <c r="D69" i="1"/>
  <c r="E69" i="1"/>
  <c r="D70" i="1"/>
  <c r="E70" i="1"/>
  <c r="D71" i="1"/>
  <c r="E71" i="1"/>
  <c r="D72" i="1"/>
  <c r="E72" i="1"/>
  <c r="D73" i="1"/>
  <c r="E73" i="1"/>
  <c r="D74" i="1"/>
  <c r="E74" i="1"/>
  <c r="D75" i="1"/>
  <c r="E75" i="1"/>
  <c r="D76" i="1"/>
  <c r="E76" i="1"/>
  <c r="D77" i="1"/>
  <c r="E77" i="1"/>
  <c r="D78" i="1"/>
  <c r="E78" i="1"/>
  <c r="D79" i="1"/>
  <c r="E79" i="1"/>
  <c r="D80" i="1"/>
  <c r="E80" i="1"/>
  <c r="D81" i="1"/>
  <c r="E81" i="1"/>
  <c r="D82" i="1"/>
  <c r="E82" i="1"/>
  <c r="D83" i="1"/>
  <c r="E83" i="1"/>
  <c r="D84" i="1"/>
  <c r="E84" i="1"/>
  <c r="D85" i="1"/>
  <c r="E85" i="1"/>
  <c r="D86" i="1"/>
  <c r="E86" i="1"/>
  <c r="D87" i="1"/>
  <c r="E87" i="1"/>
  <c r="D88" i="1"/>
  <c r="E88" i="1"/>
  <c r="D89" i="1"/>
  <c r="E89" i="1"/>
  <c r="D90" i="1"/>
  <c r="E90" i="1"/>
  <c r="D91" i="1"/>
  <c r="E91" i="1"/>
  <c r="D92" i="1"/>
  <c r="E92" i="1"/>
  <c r="D93" i="1"/>
  <c r="E93" i="1"/>
  <c r="D94" i="1"/>
  <c r="E94" i="1"/>
  <c r="D95" i="1"/>
  <c r="E95" i="1"/>
  <c r="D96" i="1"/>
  <c r="E96" i="1"/>
  <c r="D97" i="1"/>
  <c r="E97" i="1"/>
  <c r="D98" i="1"/>
  <c r="E98" i="1"/>
  <c r="D99" i="1"/>
  <c r="E99" i="1"/>
  <c r="D100" i="1"/>
  <c r="E100" i="1"/>
  <c r="D101" i="1"/>
  <c r="E101" i="1"/>
  <c r="D102" i="1"/>
  <c r="E102" i="1"/>
  <c r="D103" i="1"/>
  <c r="E103" i="1"/>
  <c r="D104" i="1"/>
  <c r="E104" i="1"/>
  <c r="D105" i="1"/>
  <c r="E105" i="1"/>
  <c r="D106" i="1"/>
  <c r="E106" i="1"/>
  <c r="D107" i="1"/>
  <c r="E107" i="1"/>
  <c r="D108" i="1"/>
  <c r="E108" i="1"/>
  <c r="D109" i="1"/>
  <c r="E109" i="1"/>
  <c r="D110" i="1"/>
  <c r="E110" i="1"/>
  <c r="D111" i="1"/>
  <c r="E111" i="1"/>
  <c r="D112" i="1"/>
  <c r="E112" i="1"/>
  <c r="D113" i="1"/>
  <c r="E113" i="1"/>
  <c r="D114" i="1"/>
  <c r="E114" i="1"/>
  <c r="D115" i="1"/>
  <c r="E115" i="1"/>
  <c r="D116" i="1"/>
  <c r="E116" i="1"/>
  <c r="D117" i="1"/>
  <c r="E117" i="1"/>
  <c r="D118" i="1"/>
  <c r="E118" i="1"/>
  <c r="D119" i="1"/>
  <c r="E119" i="1"/>
  <c r="D120" i="1"/>
  <c r="E120" i="1"/>
  <c r="D121" i="1"/>
  <c r="E121" i="1"/>
  <c r="D122" i="1"/>
  <c r="E122" i="1"/>
  <c r="D123" i="1"/>
  <c r="E123" i="1"/>
  <c r="D124" i="1"/>
  <c r="E124" i="1"/>
  <c r="D125" i="1"/>
  <c r="E125" i="1"/>
  <c r="D126" i="1"/>
  <c r="E126" i="1"/>
  <c r="D127" i="1"/>
  <c r="E127" i="1"/>
  <c r="D128" i="1"/>
  <c r="E128" i="1"/>
  <c r="D129" i="1"/>
  <c r="E129" i="1"/>
  <c r="D130" i="1"/>
  <c r="E130" i="1"/>
  <c r="D131" i="1"/>
  <c r="E131" i="1"/>
  <c r="D132" i="1"/>
  <c r="E132" i="1"/>
  <c r="D133" i="1"/>
  <c r="E133" i="1"/>
  <c r="D134" i="1"/>
  <c r="E134" i="1"/>
  <c r="D135" i="1"/>
  <c r="E135" i="1"/>
  <c r="D136" i="1"/>
  <c r="E136" i="1"/>
  <c r="D137" i="1"/>
  <c r="E137" i="1"/>
  <c r="D138" i="1"/>
  <c r="E138" i="1"/>
  <c r="D139" i="1"/>
  <c r="E139" i="1"/>
  <c r="D140" i="1"/>
  <c r="E140" i="1"/>
  <c r="D141" i="1"/>
  <c r="D142" i="1"/>
  <c r="E142" i="1"/>
  <c r="D143" i="1"/>
  <c r="E143" i="1"/>
  <c r="D144" i="1"/>
  <c r="E144" i="1"/>
  <c r="D145" i="1"/>
  <c r="E145" i="1"/>
  <c r="D146" i="1"/>
  <c r="E146" i="1"/>
  <c r="E3" i="1"/>
  <c r="C3" i="1" s="1"/>
  <c r="D3" i="1"/>
  <c r="C13" i="1" l="1"/>
  <c r="C14" i="1"/>
</calcChain>
</file>

<file path=xl/sharedStrings.xml><?xml version="1.0" encoding="utf-8"?>
<sst xmlns="http://schemas.openxmlformats.org/spreadsheetml/2006/main" count="33" uniqueCount="11">
  <si>
    <t>Федеральный бюджет</t>
  </si>
  <si>
    <t>Бюджеты государственных внебюджетных фондов</t>
  </si>
  <si>
    <t xml:space="preserve">Консолидированные бюджеты субъектов Российской Федерации </t>
  </si>
  <si>
    <t xml:space="preserve">Бюджеты территориальных государственных внебюджетных фондов </t>
  </si>
  <si>
    <t>утверждено сводной бюджетной росписью 
(с учетом внесенных изменений)</t>
  </si>
  <si>
    <t>исполнено</t>
  </si>
  <si>
    <t>ВСЕГО</t>
  </si>
  <si>
    <t>Единица измерения: руб.</t>
  </si>
  <si>
    <t>Прирост исполненного</t>
  </si>
  <si>
    <t>Доля прироста исполененого к плану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</si>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</sst>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₽_-;\-* #,##0.00\ _₽_-;_-* &quot;-&quot;??\ _₽_-;_-@_-"/>
  </numFmts>
  <fonts count="46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Arial Cyr"/>
      <charset val="204"/>
    </font>
    <font>
      <sz val="10"/>
      <color indexed="8"/>
      <name val="Calibri"/>
      <family val="2"/>
      <charset val="204"/>
    </font>
    <font>
      <sz val="10"/>
      <color indexed="9"/>
      <name val="Calibri"/>
      <family val="2"/>
      <charset val="204"/>
    </font>
    <font>
      <sz val="10"/>
      <color indexed="9"/>
      <name val="Arial Cyr"/>
      <family val="2"/>
      <charset val="204"/>
    </font>
    <font>
      <sz val="10"/>
      <color indexed="20"/>
      <name val="Calibri"/>
      <family val="2"/>
      <charset val="204"/>
    </font>
    <font>
      <b/>
      <sz val="10"/>
      <color indexed="52"/>
      <name val="Calibri"/>
      <family val="2"/>
      <charset val="204"/>
    </font>
    <font>
      <b/>
      <sz val="10"/>
      <color indexed="9"/>
      <name val="Calibri"/>
      <family val="2"/>
      <charset val="204"/>
    </font>
    <font>
      <i/>
      <sz val="10"/>
      <color indexed="23"/>
      <name val="Calibri"/>
      <family val="2"/>
      <charset val="204"/>
    </font>
    <font>
      <sz val="10"/>
      <color indexed="17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sz val="10"/>
      <color indexed="62"/>
      <name val="Calibri"/>
      <family val="2"/>
      <charset val="204"/>
    </font>
    <font>
      <sz val="10"/>
      <color indexed="52"/>
      <name val="Calibri"/>
      <family val="2"/>
      <charset val="204"/>
    </font>
    <font>
      <sz val="10"/>
      <color indexed="60"/>
      <name val="Calibri"/>
      <family val="2"/>
      <charset val="204"/>
    </font>
    <font>
      <b/>
      <sz val="10"/>
      <color indexed="63"/>
      <name val="Calibri"/>
      <family val="2"/>
      <charset val="204"/>
    </font>
    <font>
      <b/>
      <sz val="18"/>
      <color indexed="56"/>
      <name val="Cambria"/>
      <family val="2"/>
      <charset val="204"/>
    </font>
    <font>
      <b/>
      <sz val="10"/>
      <color indexed="8"/>
      <name val="Calibri"/>
      <family val="2"/>
      <charset val="204"/>
    </font>
    <font>
      <sz val="10"/>
      <color indexed="10"/>
      <name val="Calibri"/>
      <family val="2"/>
      <charset val="204"/>
    </font>
    <font>
      <sz val="10"/>
      <color indexed="62"/>
      <name val="Arial Cyr"/>
      <family val="2"/>
      <charset val="204"/>
    </font>
    <font>
      <b/>
      <sz val="10"/>
      <color indexed="63"/>
      <name val="Arial Cyr"/>
      <family val="2"/>
      <charset val="204"/>
    </font>
    <font>
      <b/>
      <sz val="10"/>
      <color indexed="52"/>
      <name val="Arial Cyr"/>
      <family val="2"/>
      <charset val="204"/>
    </font>
    <font>
      <b/>
      <sz val="15"/>
      <color indexed="56"/>
      <name val="Arial Cyr"/>
      <family val="2"/>
      <charset val="204"/>
    </font>
    <font>
      <b/>
      <sz val="13"/>
      <color indexed="56"/>
      <name val="Arial Cyr"/>
      <family val="2"/>
      <charset val="204"/>
    </font>
    <font>
      <b/>
      <sz val="11"/>
      <color indexed="56"/>
      <name val="Arial Cyr"/>
      <family val="2"/>
      <charset val="204"/>
    </font>
    <font>
      <b/>
      <sz val="10"/>
      <color indexed="8"/>
      <name val="Arial Cyr"/>
      <family val="2"/>
      <charset val="204"/>
    </font>
    <font>
      <b/>
      <sz val="10"/>
      <color indexed="9"/>
      <name val="Arial Cyr"/>
      <family val="2"/>
      <charset val="204"/>
    </font>
    <font>
      <sz val="10"/>
      <color indexed="60"/>
      <name val="Arial Cyr"/>
      <family val="2"/>
      <charset val="204"/>
    </font>
    <font>
      <sz val="10"/>
      <color indexed="20"/>
      <name val="Arial Cyr"/>
      <family val="2"/>
      <charset val="204"/>
    </font>
    <font>
      <i/>
      <sz val="10"/>
      <color indexed="23"/>
      <name val="Arial Cyr"/>
      <family val="2"/>
      <charset val="204"/>
    </font>
    <font>
      <sz val="10"/>
      <color indexed="52"/>
      <name val="Arial Cyr"/>
      <family val="2"/>
      <charset val="204"/>
    </font>
    <font>
      <sz val="10"/>
      <color indexed="10"/>
      <name val="Arial Cyr"/>
      <family val="2"/>
      <charset val="204"/>
    </font>
    <font>
      <sz val="10"/>
      <color indexed="17"/>
      <name val="Arial Cyr"/>
      <family val="2"/>
      <charset val="204"/>
    </font>
    <font>
      <b/>
      <sz val="10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u/>
      <sz val="10"/>
      <color indexed="12"/>
      <name val="Arial Cyr"/>
      <family val="2"/>
      <charset val="204"/>
    </font>
    <font>
      <sz val="11"/>
      <color indexed="8"/>
      <name val="Calibri"/>
      <family val="2"/>
      <charset val="204"/>
    </font>
    <font>
      <b/>
      <i/>
      <sz val="1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i/>
      <sz val="12"/>
      <name val="Times New Roman"/>
      <family val="1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70">
    <xf numFmtId="0" fontId="0" fillId="0" borderId="0"/>
    <xf numFmtId="0" fontId="1" fillId="0" borderId="0"/>
    <xf numFmtId="0" fontId="4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8" fillId="3" borderId="0" applyNumberFormat="0" applyBorder="0" applyAlignment="0" applyProtection="0"/>
    <xf numFmtId="0" fontId="9" fillId="20" borderId="7" applyNumberFormat="0" applyAlignment="0" applyProtection="0"/>
    <xf numFmtId="0" fontId="10" fillId="21" borderId="8" applyNumberFormat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9" applyNumberFormat="0" applyFill="0" applyAlignment="0" applyProtection="0"/>
    <xf numFmtId="0" fontId="14" fillId="0" borderId="10" applyNumberFormat="0" applyFill="0" applyAlignment="0" applyProtection="0"/>
    <xf numFmtId="0" fontId="15" fillId="0" borderId="11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7" applyNumberFormat="0" applyAlignment="0" applyProtection="0"/>
    <xf numFmtId="0" fontId="17" fillId="0" borderId="12" applyNumberFormat="0" applyFill="0" applyAlignment="0" applyProtection="0"/>
    <xf numFmtId="0" fontId="18" fillId="22" borderId="0" applyNumberFormat="0" applyBorder="0" applyAlignment="0" applyProtection="0"/>
    <xf numFmtId="0" fontId="4" fillId="23" borderId="13" applyNumberFormat="0" applyFont="0" applyAlignment="0" applyProtection="0"/>
    <xf numFmtId="0" fontId="19" fillId="20" borderId="14" applyNumberFormat="0" applyAlignment="0" applyProtection="0"/>
    <xf numFmtId="0" fontId="20" fillId="0" borderId="0" applyNumberFormat="0" applyFill="0" applyBorder="0" applyAlignment="0" applyProtection="0"/>
    <xf numFmtId="0" fontId="21" fillId="0" borderId="15" applyNumberFormat="0" applyFill="0" applyAlignment="0" applyProtection="0"/>
    <xf numFmtId="0" fontId="22" fillId="0" borderId="0" applyNumberFormat="0" applyFill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23" fillId="7" borderId="7" applyNumberFormat="0" applyAlignment="0" applyProtection="0"/>
    <xf numFmtId="0" fontId="24" fillId="20" borderId="14" applyNumberFormat="0" applyAlignment="0" applyProtection="0"/>
    <xf numFmtId="0" fontId="25" fillId="20" borderId="7" applyNumberFormat="0" applyAlignment="0" applyProtection="0"/>
    <xf numFmtId="0" fontId="26" fillId="0" borderId="9" applyNumberFormat="0" applyFill="0" applyAlignment="0" applyProtection="0"/>
    <xf numFmtId="0" fontId="27" fillId="0" borderId="10" applyNumberFormat="0" applyFill="0" applyAlignment="0" applyProtection="0"/>
    <xf numFmtId="0" fontId="28" fillId="0" borderId="11" applyNumberFormat="0" applyFill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21" borderId="8" applyNumberFormat="0" applyAlignment="0" applyProtection="0"/>
    <xf numFmtId="0" fontId="20" fillId="0" borderId="0" applyNumberFormat="0" applyFill="0" applyBorder="0" applyAlignment="0" applyProtection="0"/>
    <xf numFmtId="0" fontId="31" fillId="22" borderId="0" applyNumberFormat="0" applyBorder="0" applyAlignment="0" applyProtection="0"/>
    <xf numFmtId="0" fontId="32" fillId="3" borderId="0" applyNumberFormat="0" applyBorder="0" applyAlignment="0" applyProtection="0"/>
    <xf numFmtId="0" fontId="33" fillId="0" borderId="0" applyNumberFormat="0" applyFill="0" applyBorder="0" applyAlignment="0" applyProtection="0"/>
    <xf numFmtId="0" fontId="4" fillId="23" borderId="13" applyNumberFormat="0" applyFont="0" applyAlignment="0" applyProtection="0"/>
    <xf numFmtId="0" fontId="34" fillId="0" borderId="12" applyNumberFormat="0" applyFill="0" applyAlignment="0" applyProtection="0"/>
    <xf numFmtId="0" fontId="35" fillId="0" borderId="0" applyNumberFormat="0" applyFill="0" applyBorder="0" applyAlignment="0" applyProtection="0"/>
    <xf numFmtId="0" fontId="36" fillId="4" borderId="0" applyNumberFormat="0" applyBorder="0" applyAlignment="0" applyProtection="0"/>
    <xf numFmtId="0" fontId="39" fillId="0" borderId="0" applyNumberFormat="0" applyFill="0" applyBorder="0" applyAlignment="0" applyProtection="0">
      <alignment vertical="top"/>
      <protection locked="0"/>
    </xf>
    <xf numFmtId="43" fontId="40" fillId="0" borderId="0" applyFont="0" applyFill="0" applyBorder="0" applyAlignment="0" applyProtection="0"/>
    <xf numFmtId="9" fontId="42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2" fillId="0" borderId="3" xfId="1" applyFont="1" applyBorder="1" applyAlignment="1">
      <alignment horizontal="center" vertical="center" wrapText="1"/>
    </xf>
    <xf numFmtId="0" fontId="41" fillId="0" borderId="0" xfId="0" applyFont="1" applyBorder="1" applyAlignment="1">
      <alignment horizontal="left" wrapText="1"/>
    </xf>
    <xf numFmtId="0" fontId="0" fillId="0" borderId="0" xfId="0"/>
    <xf numFmtId="3" fontId="0" fillId="0" borderId="0" xfId="0" applyNumberFormat="1" applyFont="1"/>
    <xf numFmtId="3" fontId="3" fillId="0" borderId="6" xfId="0" quotePrefix="1" applyNumberFormat="1" applyFont="1" applyBorder="1" applyAlignment="1">
      <alignment horizontal="right" wrapText="1"/>
    </xf>
    <xf numFmtId="0" fontId="3" fillId="0" borderId="3" xfId="1" applyFont="1" applyBorder="1" applyAlignment="1">
      <alignment horizontal="center" vertical="center" wrapText="1"/>
    </xf>
    <xf numFmtId="3" fontId="43" fillId="0" borderId="6" xfId="0" quotePrefix="1" applyNumberFormat="1" applyFont="1" applyBorder="1" applyAlignment="1">
      <alignment wrapText="1"/>
    </xf>
    <xf numFmtId="10" fontId="44" fillId="0" borderId="0" xfId="69" applyNumberFormat="1" applyFont="1"/>
    <xf numFmtId="3" fontId="45" fillId="0" borderId="6" xfId="0" quotePrefix="1" applyNumberFormat="1" applyFont="1" applyBorder="1" applyAlignment="1">
      <alignment horizontal="right" wrapText="1"/>
    </xf>
    <xf numFmtId="0" fontId="2" fillId="24" borderId="3" xfId="1" applyFont="1" applyFill="1" applyBorder="1" applyAlignment="1">
      <alignment horizontal="center" vertical="center" wrapText="1"/>
    </xf>
    <xf numFmtId="0" fontId="37" fillId="0" borderId="1" xfId="1" applyFont="1" applyBorder="1" applyAlignment="1">
      <alignment horizontal="center" vertical="center" wrapText="1"/>
    </xf>
    <xf numFmtId="0" fontId="37" fillId="0" borderId="2" xfId="1" applyFont="1" applyBorder="1" applyAlignment="1">
      <alignment horizontal="center" vertical="center" wrapText="1"/>
    </xf>
    <xf numFmtId="0" fontId="38" fillId="0" borderId="4" xfId="0" applyFont="1" applyBorder="1" applyAlignment="1">
      <alignment horizontal="center"/>
    </xf>
    <xf numFmtId="0" fontId="38" fillId="0" borderId="5" xfId="0" applyFont="1" applyBorder="1" applyAlignment="1">
      <alignment horizontal="center"/>
    </xf>
  </cellXfs>
  <cellStyles count="70">
    <cellStyle name="20% - Accent1" xfId="3"/>
    <cellStyle name="20% - Accent2" xfId="4"/>
    <cellStyle name="20% - Accent3" xfId="5"/>
    <cellStyle name="20% - Accent4" xfId="6"/>
    <cellStyle name="20% - Accent5" xfId="7"/>
    <cellStyle name="20% - Accent6" xfId="8"/>
    <cellStyle name="40% - Accent1" xfId="9"/>
    <cellStyle name="40% - Accent2" xfId="10"/>
    <cellStyle name="40% - Accent3" xfId="11"/>
    <cellStyle name="40% - Accent4" xfId="12"/>
    <cellStyle name="40% - Accent5" xfId="13"/>
    <cellStyle name="40% - Accent6" xfId="14"/>
    <cellStyle name="60% - Accent1" xfId="15"/>
    <cellStyle name="60% - Accent2" xfId="16"/>
    <cellStyle name="60% - Accent3" xfId="17"/>
    <cellStyle name="60% - Accent4" xfId="18"/>
    <cellStyle name="60% - Accent5" xfId="19"/>
    <cellStyle name="60% - Accent6" xfId="20"/>
    <cellStyle name="Accent1" xfId="21"/>
    <cellStyle name="Accent2" xfId="22"/>
    <cellStyle name="Accent3" xfId="23"/>
    <cellStyle name="Accent4" xfId="24"/>
    <cellStyle name="Accent5" xfId="25"/>
    <cellStyle name="Accent6" xfId="26"/>
    <cellStyle name="Bad" xfId="27"/>
    <cellStyle name="Calculation" xfId="28"/>
    <cellStyle name="Check Cell" xfId="29"/>
    <cellStyle name="Explanatory Text" xfId="30"/>
    <cellStyle name="Good" xfId="31"/>
    <cellStyle name="Heading 1" xfId="32"/>
    <cellStyle name="Heading 2" xfId="33"/>
    <cellStyle name="Heading 3" xfId="34"/>
    <cellStyle name="Heading 4" xfId="35"/>
    <cellStyle name="Input" xfId="36"/>
    <cellStyle name="Linked Cell" xfId="37"/>
    <cellStyle name="Neutral" xfId="38"/>
    <cellStyle name="Note" xfId="39"/>
    <cellStyle name="Output" xfId="40"/>
    <cellStyle name="Title" xfId="41"/>
    <cellStyle name="Total" xfId="42"/>
    <cellStyle name="Warning Text" xfId="43"/>
    <cellStyle name="Акцент1 2" xfId="44"/>
    <cellStyle name="Акцент2 2" xfId="45"/>
    <cellStyle name="Акцент3 2" xfId="46"/>
    <cellStyle name="Акцент4 2" xfId="47"/>
    <cellStyle name="Акцент5 2" xfId="48"/>
    <cellStyle name="Акцент6 2" xfId="49"/>
    <cellStyle name="Ввод  2" xfId="50"/>
    <cellStyle name="Вывод 2" xfId="51"/>
    <cellStyle name="Вычисление 2" xfId="52"/>
    <cellStyle name="Гиперссылка 2" xfId="67"/>
    <cellStyle name="Заголовок 1 2" xfId="53"/>
    <cellStyle name="Заголовок 2 2" xfId="54"/>
    <cellStyle name="Заголовок 3 2" xfId="55"/>
    <cellStyle name="Заголовок 4 2" xfId="56"/>
    <cellStyle name="Итог 2" xfId="57"/>
    <cellStyle name="Контрольная ячейка 2" xfId="58"/>
    <cellStyle name="Название 2" xfId="59"/>
    <cellStyle name="Нейтральный 2" xfId="60"/>
    <cellStyle name="Обычный" xfId="0" builtinId="0"/>
    <cellStyle name="Обычный 2" xfId="2"/>
    <cellStyle name="Обычный_1" xfId="1"/>
    <cellStyle name="Плохой 2" xfId="61"/>
    <cellStyle name="Пояснение 2" xfId="62"/>
    <cellStyle name="Примечание 2" xfId="63"/>
    <cellStyle name="Процентный" xfId="69" builtinId="5"/>
    <cellStyle name="Связанная ячейка 2" xfId="64"/>
    <cellStyle name="Текст предупреждения 2" xfId="65"/>
    <cellStyle name="Финансовый 2" xfId="68"/>
    <cellStyle name="Хороший 2" xfId="6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7"/>
  <sheetViews>
    <sheetView tabSelected="1" workbookViewId="0">
      <selection activeCell="A135" sqref="A135:A147"/>
    </sheetView>
  </sheetViews>
  <sheetFormatPr defaultRowHeight="14.4" x14ac:dyDescent="0.3"/>
  <cols>
    <col min="1" max="1" width="20.5546875" bestFit="1" customWidth="1"/>
    <col min="2" max="3" width="20.5546875" style="4" customWidth="1"/>
    <col min="4" max="4" width="35.77734375" style="5" bestFit="1" customWidth="1"/>
    <col min="5" max="5" width="25.21875" style="5" customWidth="1"/>
    <col min="6" max="13" width="25.109375" style="5" customWidth="1"/>
  </cols>
  <sheetData>
    <row r="1" spans="1:13" ht="35.4" customHeight="1" x14ac:dyDescent="0.3">
      <c r="A1" s="3" t="s">
        <v>7</v>
      </c>
      <c r="B1" s="3"/>
      <c r="C1" s="3"/>
      <c r="D1" s="14" t="s">
        <v>6</v>
      </c>
      <c r="E1" s="15"/>
      <c r="F1" s="12" t="s">
        <v>0</v>
      </c>
      <c r="G1" s="13"/>
      <c r="H1" s="12" t="s">
        <v>1</v>
      </c>
      <c r="I1" s="13"/>
      <c r="J1" s="12" t="s">
        <v>2</v>
      </c>
      <c r="K1" s="13"/>
      <c r="L1" s="12" t="s">
        <v>3</v>
      </c>
      <c r="M1" s="13"/>
    </row>
    <row r="2" spans="1:13" ht="53.4" thickBot="1" x14ac:dyDescent="0.35">
      <c r="B2" s="7" t="s">
        <v>9</v>
      </c>
      <c r="C2" s="7" t="s">
        <v>8</v>
      </c>
      <c r="D2" s="2" t="s">
        <v>4</v>
      </c>
      <c r="E2" s="2" t="s">
        <v>5</v>
      </c>
      <c r="F2" s="2" t="s">
        <v>4</v>
      </c>
      <c r="G2" s="2" t="s">
        <v>5</v>
      </c>
      <c r="H2" s="2" t="s">
        <v>4</v>
      </c>
      <c r="I2" s="2" t="s">
        <v>5</v>
      </c>
      <c r="J2" s="2" t="s">
        <v>4</v>
      </c>
      <c r="K2" s="2" t="s">
        <v>5</v>
      </c>
      <c r="L2" s="2" t="s">
        <v>4</v>
      </c>
      <c r="M2" s="2" t="s">
        <v>5</v>
      </c>
    </row>
    <row r="3" spans="1:13" ht="16.8" thickBot="1" x14ac:dyDescent="0.4">
      <c r="A3" s="1">
        <v>41640</v>
      </c>
      <c r="B3" s="9">
        <f>C3/D3</f>
        <v>4.455966420199349E-2</v>
      </c>
      <c r="C3" s="10">
        <f>E3</f>
        <v>1452808895239.28</v>
      </c>
      <c r="D3" s="6">
        <f>SUM(F3,H3,J3,L3)</f>
        <v>32603676918514.23</v>
      </c>
      <c r="E3" s="6">
        <f>SUM(G3,I3,K3,M3)</f>
        <v>1452808895239.28</v>
      </c>
      <c r="F3" s="8">
        <v>13960133315800</v>
      </c>
      <c r="G3" s="8">
        <v>761156476407.59998</v>
      </c>
      <c r="H3" s="8">
        <v>8345750560200</v>
      </c>
      <c r="I3" s="8">
        <v>196345164408.69</v>
      </c>
      <c r="J3" s="8">
        <v>8902269222476.1602</v>
      </c>
      <c r="K3" s="8">
        <v>405786051986.16998</v>
      </c>
      <c r="L3" s="8">
        <v>1395523820038.0701</v>
      </c>
      <c r="M3" s="8">
        <v>89521202436.820007</v>
      </c>
    </row>
    <row r="4" spans="1:13" ht="16.8" thickBot="1" x14ac:dyDescent="0.4">
      <c r="A4" s="1">
        <v>41671</v>
      </c>
      <c r="B4" s="9">
        <f t="shared" ref="B4:B67" si="0">C4/D4</f>
        <v>8.7318170049497726E-2</v>
      </c>
      <c r="C4" s="10">
        <f>E4-E3</f>
        <v>2855916288926.6201</v>
      </c>
      <c r="D4" s="6">
        <f t="shared" ref="D4:D67" si="1">SUM(F4,H4,J4,L4)</f>
        <v>32707010319933.383</v>
      </c>
      <c r="E4" s="6">
        <f t="shared" ref="E4:E67" si="2">SUM(G4,I4,K4,M4)</f>
        <v>4308725184165.8999</v>
      </c>
      <c r="F4" s="8">
        <v>13961420903400</v>
      </c>
      <c r="G4" s="8">
        <v>2261544322500.5098</v>
      </c>
      <c r="H4" s="8">
        <v>8314095912400</v>
      </c>
      <c r="I4" s="8">
        <v>823096607273.93994</v>
      </c>
      <c r="J4" s="8">
        <v>9007289067418.0293</v>
      </c>
      <c r="K4" s="8">
        <v>1010448421181.91</v>
      </c>
      <c r="L4" s="8">
        <v>1424204436715.3501</v>
      </c>
      <c r="M4" s="8">
        <v>213635833209.54001</v>
      </c>
    </row>
    <row r="5" spans="1:13" ht="16.8" thickBot="1" x14ac:dyDescent="0.4">
      <c r="A5" s="1">
        <v>41699</v>
      </c>
      <c r="B5" s="9">
        <f t="shared" si="0"/>
        <v>7.5680716935203618E-2</v>
      </c>
      <c r="C5" s="10">
        <f t="shared" ref="C5:C14" si="3">E5-E4</f>
        <v>2493370755431.5903</v>
      </c>
      <c r="D5" s="6">
        <f t="shared" si="1"/>
        <v>32945918807380.836</v>
      </c>
      <c r="E5" s="6">
        <f t="shared" si="2"/>
        <v>6802095939597.4902</v>
      </c>
      <c r="F5" s="8">
        <v>13977201236700</v>
      </c>
      <c r="G5" s="8">
        <v>3345690457038.2202</v>
      </c>
      <c r="H5" s="8">
        <v>8314393633994.29</v>
      </c>
      <c r="I5" s="8">
        <v>1446435823810.49</v>
      </c>
      <c r="J5" s="8">
        <v>9224374651294.5801</v>
      </c>
      <c r="K5" s="8">
        <v>1683211372747.6299</v>
      </c>
      <c r="L5" s="8">
        <v>1429949285391.97</v>
      </c>
      <c r="M5" s="8">
        <v>326758286001.15002</v>
      </c>
    </row>
    <row r="6" spans="1:13" ht="16.8" thickBot="1" x14ac:dyDescent="0.4">
      <c r="A6" s="1">
        <v>41730</v>
      </c>
      <c r="B6" s="9">
        <f t="shared" si="0"/>
        <v>8.7840193045120599E-2</v>
      </c>
      <c r="C6" s="10">
        <f t="shared" si="3"/>
        <v>2924844680409.8613</v>
      </c>
      <c r="D6" s="6">
        <f t="shared" si="1"/>
        <v>33297338940358.039</v>
      </c>
      <c r="E6" s="6">
        <f t="shared" si="2"/>
        <v>9726940620007.3516</v>
      </c>
      <c r="F6" s="8">
        <v>14005850424300</v>
      </c>
      <c r="G6" s="8">
        <v>4626215006488.8604</v>
      </c>
      <c r="H6" s="8">
        <v>8312305240094.29</v>
      </c>
      <c r="I6" s="8">
        <v>2147688283514.3501</v>
      </c>
      <c r="J6" s="8">
        <v>9533982399829.3496</v>
      </c>
      <c r="K6" s="8">
        <v>2501677301062.0498</v>
      </c>
      <c r="L6" s="8">
        <v>1445200876134.3999</v>
      </c>
      <c r="M6" s="8">
        <v>451360028942.09003</v>
      </c>
    </row>
    <row r="7" spans="1:13" ht="16.8" thickBot="1" x14ac:dyDescent="0.4">
      <c r="A7" s="1">
        <v>41760</v>
      </c>
      <c r="B7" s="9">
        <f t="shared" si="0"/>
        <v>6.4943332025611464E-2</v>
      </c>
      <c r="C7" s="10">
        <f t="shared" si="3"/>
        <v>2174666553888.6797</v>
      </c>
      <c r="D7" s="6">
        <f t="shared" si="1"/>
        <v>33485601770957.246</v>
      </c>
      <c r="E7" s="6">
        <f t="shared" si="2"/>
        <v>11901607173896.031</v>
      </c>
      <c r="F7" s="8">
        <v>14020343420700</v>
      </c>
      <c r="G7" s="8">
        <v>5406384722442.5703</v>
      </c>
      <c r="H7" s="8">
        <v>8313731556897.6104</v>
      </c>
      <c r="I7" s="8">
        <v>2736112924024.1899</v>
      </c>
      <c r="J7" s="8">
        <v>9706060075161.1895</v>
      </c>
      <c r="K7" s="8">
        <v>3192243963721.4702</v>
      </c>
      <c r="L7" s="8">
        <v>1445466718198.45</v>
      </c>
      <c r="M7" s="8">
        <v>566865563707.80005</v>
      </c>
    </row>
    <row r="8" spans="1:13" ht="16.8" thickBot="1" x14ac:dyDescent="0.4">
      <c r="A8" s="1">
        <v>41791</v>
      </c>
      <c r="B8" s="9">
        <f t="shared" si="0"/>
        <v>7.486436229124413E-2</v>
      </c>
      <c r="C8" s="10">
        <f t="shared" si="3"/>
        <v>2516168151501.3691</v>
      </c>
      <c r="D8" s="6">
        <f t="shared" si="1"/>
        <v>33609691908050.238</v>
      </c>
      <c r="E8" s="6">
        <f t="shared" si="2"/>
        <v>14417775325397.4</v>
      </c>
      <c r="F8" s="8">
        <v>14027284584200</v>
      </c>
      <c r="G8" s="8">
        <v>6402110354477.2598</v>
      </c>
      <c r="H8" s="8">
        <v>8313792810297.6104</v>
      </c>
      <c r="I8" s="8">
        <v>3370936789182.6602</v>
      </c>
      <c r="J8" s="8">
        <v>9817497864018.1602</v>
      </c>
      <c r="K8" s="8">
        <v>3961851302869.5</v>
      </c>
      <c r="L8" s="8">
        <v>1451116649534.47</v>
      </c>
      <c r="M8" s="8">
        <v>682876878867.97998</v>
      </c>
    </row>
    <row r="9" spans="1:13" ht="16.8" thickBot="1" x14ac:dyDescent="0.4">
      <c r="A9" s="1">
        <v>41821</v>
      </c>
      <c r="B9" s="9">
        <f t="shared" si="0"/>
        <v>7.9109253097964835E-2</v>
      </c>
      <c r="C9" s="10">
        <f t="shared" si="3"/>
        <v>2667163008233.5605</v>
      </c>
      <c r="D9" s="6">
        <f t="shared" si="1"/>
        <v>33714930981976.062</v>
      </c>
      <c r="E9" s="6">
        <f t="shared" si="2"/>
        <v>17084938333630.961</v>
      </c>
      <c r="F9" s="8">
        <v>14027806296300</v>
      </c>
      <c r="G9" s="8">
        <v>7516528488872.0596</v>
      </c>
      <c r="H9" s="8">
        <v>8314634831165.4404</v>
      </c>
      <c r="I9" s="8">
        <v>4016184320034.8301</v>
      </c>
      <c r="J9" s="8">
        <v>9920141534180.1094</v>
      </c>
      <c r="K9" s="8">
        <v>4758521133669.5</v>
      </c>
      <c r="L9" s="8">
        <v>1452348320330.51</v>
      </c>
      <c r="M9" s="8">
        <v>793704391054.56995</v>
      </c>
    </row>
    <row r="10" spans="1:13" ht="16.8" thickBot="1" x14ac:dyDescent="0.4">
      <c r="A10" s="1">
        <v>41852</v>
      </c>
      <c r="B10" s="9">
        <f t="shared" si="0"/>
        <v>7.0990945372778919E-2</v>
      </c>
      <c r="C10" s="10">
        <f t="shared" si="3"/>
        <v>2398723873756.4297</v>
      </c>
      <c r="D10" s="6">
        <f t="shared" si="1"/>
        <v>33789152421629.91</v>
      </c>
      <c r="E10" s="6">
        <f t="shared" si="2"/>
        <v>19483662207387.391</v>
      </c>
      <c r="F10" s="8">
        <v>14042029467900</v>
      </c>
      <c r="G10" s="8">
        <v>8467359270122.7998</v>
      </c>
      <c r="H10" s="8">
        <v>8314355969165.4404</v>
      </c>
      <c r="I10" s="8">
        <v>4690193680234.9199</v>
      </c>
      <c r="J10" s="8">
        <v>9979761464674.3203</v>
      </c>
      <c r="K10" s="8">
        <v>5421699135055.2803</v>
      </c>
      <c r="L10" s="8">
        <v>1453005519890.1499</v>
      </c>
      <c r="M10" s="8">
        <v>904410121974.39001</v>
      </c>
    </row>
    <row r="11" spans="1:13" ht="16.8" thickBot="1" x14ac:dyDescent="0.4">
      <c r="A11" s="1">
        <v>41883</v>
      </c>
      <c r="B11" s="9">
        <f t="shared" si="0"/>
        <v>7.5191642969707859E-2</v>
      </c>
      <c r="C11" s="10">
        <f t="shared" si="3"/>
        <v>2547722724138.7734</v>
      </c>
      <c r="D11" s="6">
        <f t="shared" si="1"/>
        <v>33883056992984.762</v>
      </c>
      <c r="E11" s="6">
        <f t="shared" si="2"/>
        <v>22031384931526.164</v>
      </c>
      <c r="F11" s="8">
        <v>14052215815700</v>
      </c>
      <c r="G11" s="8">
        <v>9529016644802.1309</v>
      </c>
      <c r="H11" s="8">
        <v>8313754595269.1201</v>
      </c>
      <c r="I11" s="8">
        <v>5340175921055.7305</v>
      </c>
      <c r="J11" s="8">
        <v>10062700136276.5</v>
      </c>
      <c r="K11" s="8">
        <v>6150383195624.4805</v>
      </c>
      <c r="L11" s="8">
        <v>1454386445739.1399</v>
      </c>
      <c r="M11" s="8">
        <v>1011809170043.8199</v>
      </c>
    </row>
    <row r="12" spans="1:13" ht="16.8" thickBot="1" x14ac:dyDescent="0.4">
      <c r="A12" s="1">
        <v>41913</v>
      </c>
      <c r="B12" s="9">
        <f t="shared" si="0"/>
        <v>8.5505353459643052E-2</v>
      </c>
      <c r="C12" s="10">
        <f t="shared" si="3"/>
        <v>2901961405430.7656</v>
      </c>
      <c r="D12" s="6">
        <f t="shared" si="1"/>
        <v>33938944031152.832</v>
      </c>
      <c r="E12" s="6">
        <f t="shared" si="2"/>
        <v>24933346336956.93</v>
      </c>
      <c r="F12" s="8">
        <v>14052223715200</v>
      </c>
      <c r="G12" s="8">
        <v>10713917998369.699</v>
      </c>
      <c r="H12" s="8">
        <v>8315126846769.1201</v>
      </c>
      <c r="I12" s="8">
        <v>6057993973294.6797</v>
      </c>
      <c r="J12" s="8">
        <v>10113587916870.5</v>
      </c>
      <c r="K12" s="8">
        <v>7023122645064.5898</v>
      </c>
      <c r="L12" s="8">
        <v>1458005552313.21</v>
      </c>
      <c r="M12" s="8">
        <v>1138311720227.96</v>
      </c>
    </row>
    <row r="13" spans="1:13" ht="16.8" thickBot="1" x14ac:dyDescent="0.4">
      <c r="A13" s="1">
        <v>41944</v>
      </c>
      <c r="B13" s="9">
        <f t="shared" si="0"/>
        <v>7.015055606896374E-2</v>
      </c>
      <c r="C13" s="10">
        <f t="shared" si="3"/>
        <v>2383569938670.1484</v>
      </c>
      <c r="D13" s="6">
        <f t="shared" si="1"/>
        <v>33977919381378.871</v>
      </c>
      <c r="E13" s="6">
        <f t="shared" si="2"/>
        <v>27316916275627.078</v>
      </c>
      <c r="F13" s="8">
        <v>14052225831700</v>
      </c>
      <c r="G13" s="8">
        <v>11639211096595.4</v>
      </c>
      <c r="H13" s="8">
        <v>8320540254977.2305</v>
      </c>
      <c r="I13" s="8">
        <v>6647058457209.25</v>
      </c>
      <c r="J13" s="8">
        <v>10144721613169.4</v>
      </c>
      <c r="K13" s="8">
        <v>7769489608780.54</v>
      </c>
      <c r="L13" s="8">
        <v>1460431681532.24</v>
      </c>
      <c r="M13" s="8">
        <v>1261157113041.8899</v>
      </c>
    </row>
    <row r="14" spans="1:13" ht="16.8" thickBot="1" x14ac:dyDescent="0.4">
      <c r="A14" s="1">
        <v>41974</v>
      </c>
      <c r="B14" s="9">
        <f t="shared" si="0"/>
        <v>0.16937139917747276</v>
      </c>
      <c r="C14" s="10">
        <f t="shared" si="3"/>
        <v>5932401498120.543</v>
      </c>
      <c r="D14" s="6">
        <f t="shared" si="1"/>
        <v>35025993331402.918</v>
      </c>
      <c r="E14" s="6">
        <f t="shared" si="2"/>
        <v>33249317773747.621</v>
      </c>
      <c r="F14" s="8">
        <v>15052232831700</v>
      </c>
      <c r="G14" s="8">
        <v>14830601348110.699</v>
      </c>
      <c r="H14" s="8">
        <v>8323676919007.3604</v>
      </c>
      <c r="I14" s="8">
        <v>7610209309621.71</v>
      </c>
      <c r="J14" s="8">
        <v>10174137222386.199</v>
      </c>
      <c r="K14" s="8">
        <v>9353290852234.1094</v>
      </c>
      <c r="L14" s="8">
        <v>1475946358309.3601</v>
      </c>
      <c r="M14" s="8">
        <v>1455216263781.1001</v>
      </c>
    </row>
    <row r="15" spans="1:13" ht="16.8" thickBot="1" x14ac:dyDescent="0.4">
      <c r="A15" s="1">
        <v>42005</v>
      </c>
      <c r="B15" s="9">
        <f t="shared" si="0"/>
        <v>6.7308481627115085E-2</v>
      </c>
      <c r="C15" s="10">
        <f>E15</f>
        <v>2447081435343.3701</v>
      </c>
      <c r="D15" s="6">
        <f t="shared" si="1"/>
        <v>36356212117516.68</v>
      </c>
      <c r="E15" s="6">
        <f t="shared" si="2"/>
        <v>2447081435343.3701</v>
      </c>
      <c r="F15" s="8">
        <v>15702722559600</v>
      </c>
      <c r="G15" s="8">
        <v>1540038924700.51</v>
      </c>
      <c r="H15" s="8">
        <v>9893080770900</v>
      </c>
      <c r="I15" s="8">
        <v>454165445273.59003</v>
      </c>
      <c r="J15" s="8">
        <v>9217613150148.5801</v>
      </c>
      <c r="K15" s="8">
        <v>383671302268.60999</v>
      </c>
      <c r="L15" s="8">
        <v>1542795636868.1001</v>
      </c>
      <c r="M15" s="8">
        <v>69205763100.660004</v>
      </c>
    </row>
    <row r="16" spans="1:13" ht="16.8" thickBot="1" x14ac:dyDescent="0.4">
      <c r="A16" s="1">
        <v>42036</v>
      </c>
      <c r="B16" s="9">
        <f t="shared" si="0"/>
        <v>7.9218046152364899E-2</v>
      </c>
      <c r="C16" s="10">
        <f>E16-E15</f>
        <v>2885909717401.5098</v>
      </c>
      <c r="D16" s="6">
        <f t="shared" si="1"/>
        <v>36429953243871.523</v>
      </c>
      <c r="E16" s="6">
        <f t="shared" si="2"/>
        <v>5332991152744.8799</v>
      </c>
      <c r="F16" s="8">
        <v>15714589389200</v>
      </c>
      <c r="G16" s="8">
        <v>2958699305152.21</v>
      </c>
      <c r="H16" s="8">
        <v>9854603245263.8398</v>
      </c>
      <c r="I16" s="8">
        <v>1177166008312.77</v>
      </c>
      <c r="J16" s="8">
        <v>9311494484205.1602</v>
      </c>
      <c r="K16" s="8">
        <v>1003674649768.8101</v>
      </c>
      <c r="L16" s="8">
        <v>1549266125202.52</v>
      </c>
      <c r="M16" s="8">
        <v>193451189511.09</v>
      </c>
    </row>
    <row r="17" spans="1:13" ht="16.8" thickBot="1" x14ac:dyDescent="0.4">
      <c r="A17" s="1">
        <v>42064</v>
      </c>
      <c r="B17" s="9">
        <f t="shared" si="0"/>
        <v>7.569905212068502E-2</v>
      </c>
      <c r="C17" s="10">
        <f t="shared" ref="C17:C26" si="4">E17-E16</f>
        <v>2779488709348.9297</v>
      </c>
      <c r="D17" s="6">
        <f t="shared" si="1"/>
        <v>36717615762449.227</v>
      </c>
      <c r="E17" s="6">
        <f t="shared" si="2"/>
        <v>8112479862093.8096</v>
      </c>
      <c r="F17" s="8">
        <v>15769498886300</v>
      </c>
      <c r="G17" s="8">
        <v>4130020791122.2798</v>
      </c>
      <c r="H17" s="8">
        <v>9905936833036.25</v>
      </c>
      <c r="I17" s="8">
        <v>1903414855687.76</v>
      </c>
      <c r="J17" s="8">
        <v>9492017333420.8398</v>
      </c>
      <c r="K17" s="8">
        <v>1763932891575.6299</v>
      </c>
      <c r="L17" s="8">
        <v>1550162709692.1399</v>
      </c>
      <c r="M17" s="8">
        <v>315111323708.14001</v>
      </c>
    </row>
    <row r="18" spans="1:13" ht="16.8" thickBot="1" x14ac:dyDescent="0.4">
      <c r="A18" s="1">
        <v>42095</v>
      </c>
      <c r="B18" s="9">
        <f t="shared" si="0"/>
        <v>9.9435929331961576E-2</v>
      </c>
      <c r="C18" s="10">
        <f t="shared" si="4"/>
        <v>3633684010619.7197</v>
      </c>
      <c r="D18" s="6">
        <f t="shared" si="1"/>
        <v>36542968271447.016</v>
      </c>
      <c r="E18" s="6">
        <f t="shared" si="2"/>
        <v>11746163872713.529</v>
      </c>
      <c r="F18" s="8">
        <v>15476293755700</v>
      </c>
      <c r="G18" s="8">
        <v>5456777435256.0703</v>
      </c>
      <c r="H18" s="8">
        <v>9900228792536.25</v>
      </c>
      <c r="I18" s="8">
        <v>3222867380571.5898</v>
      </c>
      <c r="J18" s="8">
        <v>9614995213586.0605</v>
      </c>
      <c r="K18" s="8">
        <v>2615362419675.52</v>
      </c>
      <c r="L18" s="8">
        <v>1551450509624.7</v>
      </c>
      <c r="M18" s="8">
        <v>451156637210.34998</v>
      </c>
    </row>
    <row r="19" spans="1:13" ht="16.8" thickBot="1" x14ac:dyDescent="0.4">
      <c r="A19" s="1">
        <v>42125</v>
      </c>
      <c r="B19" s="9">
        <f t="shared" si="0"/>
        <v>6.3413259412510664E-2</v>
      </c>
      <c r="C19" s="10">
        <f t="shared" si="4"/>
        <v>2334857093067.6309</v>
      </c>
      <c r="D19" s="6">
        <f t="shared" si="1"/>
        <v>36819698509409.719</v>
      </c>
      <c r="E19" s="6">
        <f t="shared" si="2"/>
        <v>14081020965781.16</v>
      </c>
      <c r="F19" s="8">
        <v>15482298334300</v>
      </c>
      <c r="G19" s="8">
        <v>6304459139516</v>
      </c>
      <c r="H19" s="8">
        <v>10055981752536.199</v>
      </c>
      <c r="I19" s="8">
        <v>3895294974916.1499</v>
      </c>
      <c r="J19" s="8">
        <v>9729769401288.3496</v>
      </c>
      <c r="K19" s="8">
        <v>3302871010042.8999</v>
      </c>
      <c r="L19" s="8">
        <v>1551649021285.1699</v>
      </c>
      <c r="M19" s="8">
        <v>578395841306.10999</v>
      </c>
    </row>
    <row r="20" spans="1:13" ht="16.8" thickBot="1" x14ac:dyDescent="0.4">
      <c r="A20" s="1">
        <v>42156</v>
      </c>
      <c r="B20" s="9">
        <f t="shared" si="0"/>
        <v>7.6707905535151888E-2</v>
      </c>
      <c r="C20" s="10">
        <f t="shared" si="4"/>
        <v>2834589813444.4609</v>
      </c>
      <c r="D20" s="6">
        <f t="shared" si="1"/>
        <v>36953033636741.547</v>
      </c>
      <c r="E20" s="6">
        <f t="shared" si="2"/>
        <v>16915610779225.621</v>
      </c>
      <c r="F20" s="8">
        <v>15482298334300</v>
      </c>
      <c r="G20" s="8">
        <v>7418528446155.1104</v>
      </c>
      <c r="H20" s="8">
        <v>10051328129161.4</v>
      </c>
      <c r="I20" s="8">
        <v>4653884671831.7305</v>
      </c>
      <c r="J20" s="8">
        <v>9853089715576.9805</v>
      </c>
      <c r="K20" s="8">
        <v>4131147813002.7202</v>
      </c>
      <c r="L20" s="8">
        <v>1566317457703.1699</v>
      </c>
      <c r="M20" s="8">
        <v>712049848236.06006</v>
      </c>
    </row>
    <row r="21" spans="1:13" ht="16.8" thickBot="1" x14ac:dyDescent="0.4">
      <c r="A21" s="1">
        <v>42186</v>
      </c>
      <c r="B21" s="9">
        <f t="shared" si="0"/>
        <v>8.4243417369598644E-2</v>
      </c>
      <c r="C21" s="10">
        <f t="shared" si="4"/>
        <v>3120073809589.5781</v>
      </c>
      <c r="D21" s="6">
        <f t="shared" si="1"/>
        <v>37036410760747.883</v>
      </c>
      <c r="E21" s="6">
        <f t="shared" si="2"/>
        <v>20035684588815.199</v>
      </c>
      <c r="F21" s="8">
        <v>15486427717800</v>
      </c>
      <c r="G21" s="8">
        <v>8838668858617.5391</v>
      </c>
      <c r="H21" s="8">
        <v>10054690917155.301</v>
      </c>
      <c r="I21" s="8">
        <v>5400040439032.3799</v>
      </c>
      <c r="J21" s="8">
        <v>9921396650748.8691</v>
      </c>
      <c r="K21" s="8">
        <v>4954149608223.3203</v>
      </c>
      <c r="L21" s="8">
        <v>1573895475043.71</v>
      </c>
      <c r="M21" s="8">
        <v>842825682941.95996</v>
      </c>
    </row>
    <row r="22" spans="1:13" ht="16.8" thickBot="1" x14ac:dyDescent="0.4">
      <c r="A22" s="1">
        <v>42217</v>
      </c>
      <c r="B22" s="9">
        <f t="shared" si="0"/>
        <v>7.0458064891046238E-2</v>
      </c>
      <c r="C22" s="10">
        <f t="shared" si="4"/>
        <v>2613769491650.875</v>
      </c>
      <c r="D22" s="6">
        <f t="shared" si="1"/>
        <v>37096810644639.648</v>
      </c>
      <c r="E22" s="6">
        <f t="shared" si="2"/>
        <v>22649454080466.074</v>
      </c>
      <c r="F22" s="8">
        <v>15486427717800</v>
      </c>
      <c r="G22" s="8">
        <v>9867000669565.5605</v>
      </c>
      <c r="H22" s="8">
        <v>10054704864155.4</v>
      </c>
      <c r="I22" s="8">
        <v>6150606367549.7197</v>
      </c>
      <c r="J22" s="8">
        <v>9981237357100.8301</v>
      </c>
      <c r="K22" s="8">
        <v>5661909659113.8701</v>
      </c>
      <c r="L22" s="8">
        <v>1574440705583.4199</v>
      </c>
      <c r="M22" s="8">
        <v>969937384236.92004</v>
      </c>
    </row>
    <row r="23" spans="1:13" ht="16.8" thickBot="1" x14ac:dyDescent="0.4">
      <c r="A23" s="1">
        <v>42248</v>
      </c>
      <c r="B23" s="9">
        <f t="shared" si="0"/>
        <v>6.87075732368677E-2</v>
      </c>
      <c r="C23" s="10">
        <f t="shared" si="4"/>
        <v>2553986032160.3164</v>
      </c>
      <c r="D23" s="6">
        <f t="shared" si="1"/>
        <v>37171827090377.812</v>
      </c>
      <c r="E23" s="6">
        <f t="shared" si="2"/>
        <v>25203440112626.391</v>
      </c>
      <c r="F23" s="8">
        <v>15486433254300</v>
      </c>
      <c r="G23" s="8">
        <v>10794282660958</v>
      </c>
      <c r="H23" s="8">
        <v>10054623994648.301</v>
      </c>
      <c r="I23" s="8">
        <v>6893792241231.4805</v>
      </c>
      <c r="J23" s="8">
        <v>10052587387299.801</v>
      </c>
      <c r="K23" s="8">
        <v>6415412253735.9102</v>
      </c>
      <c r="L23" s="8">
        <v>1578182454129.71</v>
      </c>
      <c r="M23" s="8">
        <v>1099952956701</v>
      </c>
    </row>
    <row r="24" spans="1:13" ht="16.8" thickBot="1" x14ac:dyDescent="0.4">
      <c r="A24" s="1">
        <v>42278</v>
      </c>
      <c r="B24" s="9">
        <f t="shared" si="0"/>
        <v>7.5784362901564956E-2</v>
      </c>
      <c r="C24" s="10">
        <f t="shared" si="4"/>
        <v>2824039575607.293</v>
      </c>
      <c r="D24" s="6">
        <f t="shared" si="1"/>
        <v>37264146157372.742</v>
      </c>
      <c r="E24" s="6">
        <f t="shared" si="2"/>
        <v>28027479688233.684</v>
      </c>
      <c r="F24" s="8">
        <v>15486571473100</v>
      </c>
      <c r="G24" s="8">
        <v>11983616063316.699</v>
      </c>
      <c r="H24" s="8">
        <v>10064006871520.199</v>
      </c>
      <c r="I24" s="8">
        <v>7639208230879.5098</v>
      </c>
      <c r="J24" s="8">
        <v>10127754989494.301</v>
      </c>
      <c r="K24" s="8">
        <v>7175638868150.1904</v>
      </c>
      <c r="L24" s="8">
        <v>1585812823258.24</v>
      </c>
      <c r="M24" s="8">
        <v>1229016525887.28</v>
      </c>
    </row>
    <row r="25" spans="1:13" ht="16.8" thickBot="1" x14ac:dyDescent="0.4">
      <c r="A25" s="1">
        <v>42309</v>
      </c>
      <c r="B25" s="9">
        <f t="shared" si="0"/>
        <v>7.0834342921987994E-2</v>
      </c>
      <c r="C25" s="10">
        <f t="shared" si="4"/>
        <v>2661255834701.2148</v>
      </c>
      <c r="D25" s="6">
        <f t="shared" si="1"/>
        <v>37570135119798.266</v>
      </c>
      <c r="E25" s="6">
        <f t="shared" si="2"/>
        <v>30688735522934.898</v>
      </c>
      <c r="F25" s="8">
        <v>15689185164000</v>
      </c>
      <c r="G25" s="8">
        <v>13020966967885.5</v>
      </c>
      <c r="H25" s="8">
        <v>10065513598531.801</v>
      </c>
      <c r="I25" s="8">
        <v>8385114647744.0898</v>
      </c>
      <c r="J25" s="8">
        <v>10224383425957</v>
      </c>
      <c r="K25" s="8">
        <v>7907827802122.5703</v>
      </c>
      <c r="L25" s="8">
        <v>1591052931309.47</v>
      </c>
      <c r="M25" s="8">
        <v>1374826105182.74</v>
      </c>
    </row>
    <row r="26" spans="1:13" ht="16.8" thickBot="1" x14ac:dyDescent="0.4">
      <c r="A26" s="1">
        <v>42339</v>
      </c>
      <c r="B26" s="9">
        <f t="shared" si="0"/>
        <v>0.14542702922387979</v>
      </c>
      <c r="C26" s="10">
        <f t="shared" si="4"/>
        <v>5494857451528.3437</v>
      </c>
      <c r="D26" s="6">
        <f t="shared" si="1"/>
        <v>37784292788304.187</v>
      </c>
      <c r="E26" s="6">
        <f t="shared" si="2"/>
        <v>36183592974463.242</v>
      </c>
      <c r="F26" s="8">
        <v>15854280209300</v>
      </c>
      <c r="G26" s="8">
        <v>15610901445705.5</v>
      </c>
      <c r="H26" s="8">
        <v>10083809099701.301</v>
      </c>
      <c r="I26" s="8">
        <v>9496893162588.0996</v>
      </c>
      <c r="J26" s="8">
        <v>10237570610648.5</v>
      </c>
      <c r="K26" s="8">
        <v>9479723537213.0195</v>
      </c>
      <c r="L26" s="8">
        <v>1608632868654.3899</v>
      </c>
      <c r="M26" s="8">
        <v>1596074828956.6201</v>
      </c>
    </row>
    <row r="27" spans="1:13" ht="16.8" thickBot="1" x14ac:dyDescent="0.4">
      <c r="A27" s="1">
        <v>42370</v>
      </c>
      <c r="B27" s="9">
        <f t="shared" si="0"/>
        <v>4.5102894272130517E-2</v>
      </c>
      <c r="C27" s="10">
        <f>E27</f>
        <v>1674872672706.8899</v>
      </c>
      <c r="D27" s="6">
        <f t="shared" si="1"/>
        <v>37134483268445.344</v>
      </c>
      <c r="E27" s="6">
        <f t="shared" si="2"/>
        <v>1674872672706.8899</v>
      </c>
      <c r="F27" s="8">
        <v>16098658671800</v>
      </c>
      <c r="G27" s="8">
        <v>693611309509.12</v>
      </c>
      <c r="H27" s="8">
        <v>10040979751100</v>
      </c>
      <c r="I27" s="8">
        <v>492655455128.97998</v>
      </c>
      <c r="J27" s="8">
        <v>9392773635996</v>
      </c>
      <c r="K27" s="8">
        <v>415163329734.65002</v>
      </c>
      <c r="L27" s="8">
        <v>1602071209549.3401</v>
      </c>
      <c r="M27" s="8">
        <v>73442578334.139999</v>
      </c>
    </row>
    <row r="28" spans="1:13" ht="16.8" thickBot="1" x14ac:dyDescent="0.4">
      <c r="A28" s="1">
        <v>42401</v>
      </c>
      <c r="B28" s="9">
        <f t="shared" si="0"/>
        <v>7.5476699104046918E-2</v>
      </c>
      <c r="C28" s="10">
        <f>E28-E27</f>
        <v>2810642618042.7402</v>
      </c>
      <c r="D28" s="6">
        <f t="shared" si="1"/>
        <v>37238547146427.062</v>
      </c>
      <c r="E28" s="6">
        <f t="shared" si="2"/>
        <v>4485515290749.6299</v>
      </c>
      <c r="F28" s="8">
        <v>16145642725600</v>
      </c>
      <c r="G28" s="8">
        <v>1940707807213.27</v>
      </c>
      <c r="H28" s="8">
        <v>10004507532600</v>
      </c>
      <c r="I28" s="8">
        <v>1265428798799.71</v>
      </c>
      <c r="J28" s="8">
        <v>9488758499060.2109</v>
      </c>
      <c r="K28" s="8">
        <v>1081809586984.4399</v>
      </c>
      <c r="L28" s="8">
        <v>1599638389166.8501</v>
      </c>
      <c r="M28" s="8">
        <v>197569097752.20999</v>
      </c>
    </row>
    <row r="29" spans="1:13" ht="16.8" thickBot="1" x14ac:dyDescent="0.4">
      <c r="A29" s="1">
        <v>42430</v>
      </c>
      <c r="B29" s="9">
        <f t="shared" si="0"/>
        <v>9.4514353441502205E-2</v>
      </c>
      <c r="C29" s="10">
        <f t="shared" ref="C29:C38" si="5">E29-E28</f>
        <v>3541161805021.5889</v>
      </c>
      <c r="D29" s="6">
        <f t="shared" si="1"/>
        <v>37466920907556.344</v>
      </c>
      <c r="E29" s="6">
        <f t="shared" si="2"/>
        <v>8026677095771.2187</v>
      </c>
      <c r="F29" s="8">
        <v>16192716650200</v>
      </c>
      <c r="G29" s="8">
        <v>3549343920064.5298</v>
      </c>
      <c r="H29" s="8">
        <v>10015502140000</v>
      </c>
      <c r="I29" s="8">
        <v>2304761890090.1899</v>
      </c>
      <c r="J29" s="8">
        <v>9656920033750.4805</v>
      </c>
      <c r="K29" s="8">
        <v>1844898778559.98</v>
      </c>
      <c r="L29" s="8">
        <v>1601782083605.8601</v>
      </c>
      <c r="M29" s="8">
        <v>327672507056.52002</v>
      </c>
    </row>
    <row r="30" spans="1:13" ht="16.8" thickBot="1" x14ac:dyDescent="0.4">
      <c r="A30" s="1">
        <v>42461</v>
      </c>
      <c r="B30" s="9">
        <f t="shared" si="0"/>
        <v>8.9249124192946755E-2</v>
      </c>
      <c r="C30" s="10">
        <f t="shared" si="5"/>
        <v>3363111052687.5605</v>
      </c>
      <c r="D30" s="6">
        <f t="shared" si="1"/>
        <v>37682286331649.437</v>
      </c>
      <c r="E30" s="6">
        <f t="shared" si="2"/>
        <v>11389788148458.779</v>
      </c>
      <c r="F30" s="8">
        <v>16250989043700</v>
      </c>
      <c r="G30" s="8">
        <v>5045843582422.4199</v>
      </c>
      <c r="H30" s="8">
        <v>10013519891192</v>
      </c>
      <c r="I30" s="8">
        <v>3136888503818.4399</v>
      </c>
      <c r="J30" s="8">
        <v>9814926476083.4297</v>
      </c>
      <c r="K30" s="8">
        <v>2743304861516.4302</v>
      </c>
      <c r="L30" s="8">
        <v>1602850920674.01</v>
      </c>
      <c r="M30" s="8">
        <v>463751200701.48999</v>
      </c>
    </row>
    <row r="31" spans="1:13" ht="16.8" thickBot="1" x14ac:dyDescent="0.4">
      <c r="A31" s="1">
        <v>42491</v>
      </c>
      <c r="B31" s="9">
        <f t="shared" si="0"/>
        <v>6.8815823620138078E-2</v>
      </c>
      <c r="C31" s="10">
        <f t="shared" si="5"/>
        <v>2608444530970.3008</v>
      </c>
      <c r="D31" s="6">
        <f t="shared" si="1"/>
        <v>37904720073814.133</v>
      </c>
      <c r="E31" s="6">
        <f t="shared" si="2"/>
        <v>13998232679429.08</v>
      </c>
      <c r="F31" s="8">
        <v>16250989403700</v>
      </c>
      <c r="G31" s="8">
        <v>6039275026073.1504</v>
      </c>
      <c r="H31" s="8">
        <v>10017457452900</v>
      </c>
      <c r="I31" s="8">
        <v>3875062632411.48</v>
      </c>
      <c r="J31" s="8">
        <v>10030964077146.1</v>
      </c>
      <c r="K31" s="8">
        <v>3479752107642.2998</v>
      </c>
      <c r="L31" s="8">
        <v>1605309140068.03</v>
      </c>
      <c r="M31" s="8">
        <v>604142913302.15002</v>
      </c>
    </row>
    <row r="32" spans="1:13" ht="16.8" thickBot="1" x14ac:dyDescent="0.4">
      <c r="A32" s="1">
        <v>42522</v>
      </c>
      <c r="B32" s="9">
        <f t="shared" si="0"/>
        <v>7.9644534649893281E-2</v>
      </c>
      <c r="C32" s="10">
        <f t="shared" si="5"/>
        <v>3034426495565.5078</v>
      </c>
      <c r="D32" s="6">
        <f t="shared" si="1"/>
        <v>38099619878557.148</v>
      </c>
      <c r="E32" s="6">
        <f t="shared" si="2"/>
        <v>17032659174994.588</v>
      </c>
      <c r="F32" s="8">
        <v>16270028155100</v>
      </c>
      <c r="G32" s="8">
        <v>7297948744464.5596</v>
      </c>
      <c r="H32" s="8">
        <v>10044945756100</v>
      </c>
      <c r="I32" s="8">
        <v>4654674178149.5</v>
      </c>
      <c r="J32" s="8">
        <v>10178431672261.9</v>
      </c>
      <c r="K32" s="8">
        <v>4340196771053.7798</v>
      </c>
      <c r="L32" s="8">
        <v>1606214295095.25</v>
      </c>
      <c r="M32" s="8">
        <v>739839481326.75</v>
      </c>
    </row>
    <row r="33" spans="1:13" ht="16.8" thickBot="1" x14ac:dyDescent="0.4">
      <c r="A33" s="1">
        <v>42552</v>
      </c>
      <c r="B33" s="9">
        <f t="shared" si="0"/>
        <v>7.2922086652311521E-2</v>
      </c>
      <c r="C33" s="10">
        <f t="shared" si="5"/>
        <v>2786218866898.502</v>
      </c>
      <c r="D33" s="6">
        <f t="shared" si="1"/>
        <v>38208161543470.906</v>
      </c>
      <c r="E33" s="6">
        <f t="shared" si="2"/>
        <v>19818878041893.09</v>
      </c>
      <c r="F33" s="8">
        <v>16273522780600</v>
      </c>
      <c r="G33" s="8">
        <v>8412262445399.3203</v>
      </c>
      <c r="H33" s="8">
        <v>10043035530800</v>
      </c>
      <c r="I33" s="8">
        <v>5406637163071.3701</v>
      </c>
      <c r="J33" s="8">
        <v>10284070783273.801</v>
      </c>
      <c r="K33" s="8">
        <v>5128874509109.4902</v>
      </c>
      <c r="L33" s="8">
        <v>1607532448797.1101</v>
      </c>
      <c r="M33" s="8">
        <v>871103924312.91003</v>
      </c>
    </row>
    <row r="34" spans="1:13" ht="16.8" thickBot="1" x14ac:dyDescent="0.4">
      <c r="A34" s="1">
        <v>42583</v>
      </c>
      <c r="B34" s="9">
        <f t="shared" si="0"/>
        <v>7.5233423631754406E-2</v>
      </c>
      <c r="C34" s="10">
        <f t="shared" si="5"/>
        <v>2887938189341.082</v>
      </c>
      <c r="D34" s="6">
        <f t="shared" si="1"/>
        <v>38386372039596.312</v>
      </c>
      <c r="E34" s="6">
        <f t="shared" si="2"/>
        <v>22706816231234.172</v>
      </c>
      <c r="F34" s="8">
        <v>16330726704200</v>
      </c>
      <c r="G34" s="8">
        <v>9588538253923.3008</v>
      </c>
      <c r="H34" s="8">
        <v>10067990553800</v>
      </c>
      <c r="I34" s="8">
        <v>6240127554524.5801</v>
      </c>
      <c r="J34" s="8">
        <v>10370768603841</v>
      </c>
      <c r="K34" s="8">
        <v>5872589968416.4697</v>
      </c>
      <c r="L34" s="8">
        <v>1616886177755.3101</v>
      </c>
      <c r="M34" s="8">
        <v>1005560454369.8199</v>
      </c>
    </row>
    <row r="35" spans="1:13" ht="16.8" thickBot="1" x14ac:dyDescent="0.4">
      <c r="A35" s="1">
        <v>42614</v>
      </c>
      <c r="B35" s="9">
        <f t="shared" si="0"/>
        <v>7.6221359983037792E-2</v>
      </c>
      <c r="C35" s="10">
        <f t="shared" si="5"/>
        <v>2932328694406.2461</v>
      </c>
      <c r="D35" s="6">
        <f t="shared" si="1"/>
        <v>38471219813695.305</v>
      </c>
      <c r="E35" s="6">
        <f t="shared" si="2"/>
        <v>25639144925640.418</v>
      </c>
      <c r="F35" s="8">
        <v>16330729273000</v>
      </c>
      <c r="G35" s="8">
        <v>10804897809743</v>
      </c>
      <c r="H35" s="8">
        <v>10068053558900</v>
      </c>
      <c r="I35" s="8">
        <v>7034368511556.3799</v>
      </c>
      <c r="J35" s="8">
        <v>10443774574592.9</v>
      </c>
      <c r="K35" s="8">
        <v>6663364635383.2695</v>
      </c>
      <c r="L35" s="8">
        <v>1628662407202.4099</v>
      </c>
      <c r="M35" s="8">
        <v>1136513968957.77</v>
      </c>
    </row>
    <row r="36" spans="1:13" ht="16.8" thickBot="1" x14ac:dyDescent="0.4">
      <c r="A36" s="1">
        <v>42644</v>
      </c>
      <c r="B36" s="9">
        <f t="shared" si="0"/>
        <v>7.4471984938858871E-2</v>
      </c>
      <c r="C36" s="10">
        <f t="shared" si="5"/>
        <v>2870491510236.1328</v>
      </c>
      <c r="D36" s="6">
        <f t="shared" si="1"/>
        <v>38544581732215.031</v>
      </c>
      <c r="E36" s="6">
        <f t="shared" si="2"/>
        <v>28509636435876.551</v>
      </c>
      <c r="F36" s="8">
        <v>16330729273000</v>
      </c>
      <c r="G36" s="8">
        <v>11956565344140</v>
      </c>
      <c r="H36" s="8">
        <v>10074456399300</v>
      </c>
      <c r="I36" s="8">
        <v>7815352972427.8604</v>
      </c>
      <c r="J36" s="8">
        <v>10507775089801.9</v>
      </c>
      <c r="K36" s="8">
        <v>7470746292282.3398</v>
      </c>
      <c r="L36" s="8">
        <v>1631620970113.1299</v>
      </c>
      <c r="M36" s="8">
        <v>1266971827026.3501</v>
      </c>
    </row>
    <row r="37" spans="1:13" ht="16.8" thickBot="1" x14ac:dyDescent="0.4">
      <c r="A37" s="1">
        <v>42675</v>
      </c>
      <c r="B37" s="9">
        <f t="shared" si="0"/>
        <v>7.7474411879997124E-2</v>
      </c>
      <c r="C37" s="10">
        <f t="shared" si="5"/>
        <v>3020797872971.9687</v>
      </c>
      <c r="D37" s="6">
        <f t="shared" si="1"/>
        <v>38990910671913.07</v>
      </c>
      <c r="E37" s="6">
        <f t="shared" si="2"/>
        <v>31530434308848.52</v>
      </c>
      <c r="F37" s="8">
        <v>16635049886400</v>
      </c>
      <c r="G37" s="8">
        <v>13170403166987</v>
      </c>
      <c r="H37" s="8">
        <v>10160895566000</v>
      </c>
      <c r="I37" s="8">
        <v>8614803903669.54</v>
      </c>
      <c r="J37" s="8">
        <v>10553877964778.199</v>
      </c>
      <c r="K37" s="8">
        <v>8334151258882.8203</v>
      </c>
      <c r="L37" s="8">
        <v>1641087254734.8701</v>
      </c>
      <c r="M37" s="8">
        <v>1411075979309.1599</v>
      </c>
    </row>
    <row r="38" spans="1:13" ht="16.8" thickBot="1" x14ac:dyDescent="0.4">
      <c r="A38" s="1">
        <v>42705</v>
      </c>
      <c r="B38" s="9">
        <f t="shared" si="0"/>
        <v>0.15641049509014004</v>
      </c>
      <c r="C38" s="10">
        <f t="shared" si="5"/>
        <v>6097625439857.3945</v>
      </c>
      <c r="D38" s="6">
        <f t="shared" si="1"/>
        <v>38984758895771.711</v>
      </c>
      <c r="E38" s="6">
        <f t="shared" si="2"/>
        <v>37628059748705.914</v>
      </c>
      <c r="F38" s="8">
        <v>16636385682000</v>
      </c>
      <c r="G38" s="8">
        <v>16416440980245.801</v>
      </c>
      <c r="H38" s="8">
        <v>10173768996230.9</v>
      </c>
      <c r="I38" s="8">
        <v>9649809219898.0996</v>
      </c>
      <c r="J38" s="8">
        <v>10525748243973</v>
      </c>
      <c r="K38" s="8">
        <v>9936442289379.6504</v>
      </c>
      <c r="L38" s="8">
        <v>1648855973567.8101</v>
      </c>
      <c r="M38" s="8">
        <v>1625367259182.3701</v>
      </c>
    </row>
    <row r="39" spans="1:13" ht="16.8" thickBot="1" x14ac:dyDescent="0.4">
      <c r="A39" s="1">
        <v>42736</v>
      </c>
      <c r="B39" s="9">
        <f t="shared" si="0"/>
        <v>6.5213786491388634E-2</v>
      </c>
      <c r="C39" s="10">
        <f>E39</f>
        <v>2548036804399.2803</v>
      </c>
      <c r="D39" s="6">
        <f t="shared" si="1"/>
        <v>39072057328487.5</v>
      </c>
      <c r="E39" s="6">
        <f t="shared" si="2"/>
        <v>2548036804399.2803</v>
      </c>
      <c r="F39" s="8">
        <v>16240929139500</v>
      </c>
      <c r="G39" s="8">
        <v>1230477234782.8799</v>
      </c>
      <c r="H39" s="8">
        <v>11002355398500</v>
      </c>
      <c r="I39" s="8">
        <v>789766701891.46997</v>
      </c>
      <c r="J39" s="8">
        <v>10103075873474.4</v>
      </c>
      <c r="K39" s="8">
        <v>452221172449.71002</v>
      </c>
      <c r="L39" s="8">
        <v>1725696917013.1001</v>
      </c>
      <c r="M39" s="8">
        <v>75571695275.220001</v>
      </c>
    </row>
    <row r="40" spans="1:13" ht="16.8" thickBot="1" x14ac:dyDescent="0.4">
      <c r="A40" s="1">
        <v>42767</v>
      </c>
      <c r="B40" s="9">
        <f t="shared" si="0"/>
        <v>7.0010286595203627E-2</v>
      </c>
      <c r="C40" s="10">
        <f>E40-E39</f>
        <v>2758284210988.2803</v>
      </c>
      <c r="D40" s="6">
        <f t="shared" si="1"/>
        <v>39398270527537.719</v>
      </c>
      <c r="E40" s="6">
        <f t="shared" si="2"/>
        <v>5306321015387.5605</v>
      </c>
      <c r="F40" s="8">
        <v>16249367604500</v>
      </c>
      <c r="G40" s="8">
        <v>2371845142838.3198</v>
      </c>
      <c r="H40" s="8">
        <v>10965990561500</v>
      </c>
      <c r="I40" s="8">
        <v>1585025856025.55</v>
      </c>
      <c r="J40" s="8">
        <v>10451035236893.4</v>
      </c>
      <c r="K40" s="8">
        <v>1138638963984.8201</v>
      </c>
      <c r="L40" s="8">
        <v>1731877124644.3201</v>
      </c>
      <c r="M40" s="8">
        <v>210811052538.87</v>
      </c>
    </row>
    <row r="41" spans="1:13" ht="16.8" thickBot="1" x14ac:dyDescent="0.4">
      <c r="A41" s="1">
        <v>42795</v>
      </c>
      <c r="B41" s="9">
        <f t="shared" si="0"/>
        <v>8.7740425904915376E-2</v>
      </c>
      <c r="C41" s="10">
        <f t="shared" ref="C41:C50" si="6">E41-E40</f>
        <v>3488515388403.8887</v>
      </c>
      <c r="D41" s="6">
        <f t="shared" si="1"/>
        <v>39759499141073.305</v>
      </c>
      <c r="E41" s="6">
        <f t="shared" si="2"/>
        <v>8794836403791.4492</v>
      </c>
      <c r="F41" s="8">
        <v>16479011654400</v>
      </c>
      <c r="G41" s="8">
        <v>3825522783942.21</v>
      </c>
      <c r="H41" s="8">
        <v>10963454965700</v>
      </c>
      <c r="I41" s="8">
        <v>2629391545001.3901</v>
      </c>
      <c r="J41" s="8">
        <v>10580503397607.6</v>
      </c>
      <c r="K41" s="8">
        <v>1976724229400.3401</v>
      </c>
      <c r="L41" s="8">
        <v>1736529123365.7</v>
      </c>
      <c r="M41" s="8">
        <v>363197845447.51001</v>
      </c>
    </row>
    <row r="42" spans="1:13" ht="16.8" thickBot="1" x14ac:dyDescent="0.4">
      <c r="A42" s="1">
        <v>42826</v>
      </c>
      <c r="B42" s="9">
        <f t="shared" si="0"/>
        <v>8.0831877976049862E-2</v>
      </c>
      <c r="C42" s="10">
        <f t="shared" si="6"/>
        <v>3229251332713.5605</v>
      </c>
      <c r="D42" s="6">
        <f t="shared" si="1"/>
        <v>39950220303806.055</v>
      </c>
      <c r="E42" s="6">
        <f t="shared" si="2"/>
        <v>12024087736505.01</v>
      </c>
      <c r="F42" s="8">
        <v>16498261590800</v>
      </c>
      <c r="G42" s="8">
        <v>5196537874323.2803</v>
      </c>
      <c r="H42" s="8">
        <v>10963513833300</v>
      </c>
      <c r="I42" s="8">
        <v>3463862429695.3901</v>
      </c>
      <c r="J42" s="8">
        <v>10756237202887.6</v>
      </c>
      <c r="K42" s="8">
        <v>2858665008655.7598</v>
      </c>
      <c r="L42" s="8">
        <v>1732207676818.45</v>
      </c>
      <c r="M42" s="8">
        <v>505022423830.58002</v>
      </c>
    </row>
    <row r="43" spans="1:13" ht="16.8" thickBot="1" x14ac:dyDescent="0.4">
      <c r="A43" s="1">
        <v>42856</v>
      </c>
      <c r="B43" s="9">
        <f t="shared" si="0"/>
        <v>7.140272906247902E-2</v>
      </c>
      <c r="C43" s="10">
        <f t="shared" si="6"/>
        <v>2862990975834.5</v>
      </c>
      <c r="D43" s="6">
        <f t="shared" si="1"/>
        <v>40096380256408.93</v>
      </c>
      <c r="E43" s="6">
        <f t="shared" si="2"/>
        <v>14887078712339.51</v>
      </c>
      <c r="F43" s="8">
        <v>16503676523100</v>
      </c>
      <c r="G43" s="8">
        <v>6308560751415.29</v>
      </c>
      <c r="H43" s="8">
        <v>10963513834400</v>
      </c>
      <c r="I43" s="8">
        <v>4260125683390.4502</v>
      </c>
      <c r="J43" s="8">
        <v>10897952622042.6</v>
      </c>
      <c r="K43" s="8">
        <v>3659069126881.1001</v>
      </c>
      <c r="L43" s="8">
        <v>1731237276866.3301</v>
      </c>
      <c r="M43" s="8">
        <v>659323150652.67004</v>
      </c>
    </row>
    <row r="44" spans="1:13" ht="16.8" thickBot="1" x14ac:dyDescent="0.4">
      <c r="A44" s="1">
        <v>42887</v>
      </c>
      <c r="B44" s="9">
        <f t="shared" si="0"/>
        <v>7.7591925180026278E-2</v>
      </c>
      <c r="C44" s="10">
        <f t="shared" si="6"/>
        <v>3123182914928.0605</v>
      </c>
      <c r="D44" s="6">
        <f t="shared" si="1"/>
        <v>40251390949274.07</v>
      </c>
      <c r="E44" s="6">
        <f t="shared" si="2"/>
        <v>18010261627267.57</v>
      </c>
      <c r="F44" s="8">
        <v>16514652636700</v>
      </c>
      <c r="G44" s="8">
        <v>7529860317654.8496</v>
      </c>
      <c r="H44" s="8">
        <v>10963759634500</v>
      </c>
      <c r="I44" s="8">
        <v>5066447485684.2803</v>
      </c>
      <c r="J44" s="8">
        <v>11041695302442.4</v>
      </c>
      <c r="K44" s="8">
        <v>4611625291763.6904</v>
      </c>
      <c r="L44" s="8">
        <v>1731283375631.6699</v>
      </c>
      <c r="M44" s="8">
        <v>802328532164.75</v>
      </c>
    </row>
    <row r="45" spans="1:13" ht="16.8" thickBot="1" x14ac:dyDescent="0.4">
      <c r="A45" s="1">
        <v>42917</v>
      </c>
      <c r="B45" s="9">
        <f t="shared" si="0"/>
        <v>7.319335854030623E-2</v>
      </c>
      <c r="C45" s="10">
        <f t="shared" si="6"/>
        <v>2981049809794.4102</v>
      </c>
      <c r="D45" s="6">
        <f t="shared" si="1"/>
        <v>40728419480201.898</v>
      </c>
      <c r="E45" s="6">
        <f t="shared" si="2"/>
        <v>20991311437061.98</v>
      </c>
      <c r="F45" s="8">
        <v>16877834679400</v>
      </c>
      <c r="G45" s="8">
        <v>8715617828427.4102</v>
      </c>
      <c r="H45" s="8">
        <v>10963788546700</v>
      </c>
      <c r="I45" s="8">
        <v>5885014854348.96</v>
      </c>
      <c r="J45" s="8">
        <v>11148361754974.5</v>
      </c>
      <c r="K45" s="8">
        <v>5448090893139.2803</v>
      </c>
      <c r="L45" s="8">
        <v>1738434499127.3999</v>
      </c>
      <c r="M45" s="8">
        <v>942587861146.32996</v>
      </c>
    </row>
    <row r="46" spans="1:13" ht="16.8" thickBot="1" x14ac:dyDescent="0.4">
      <c r="A46" s="1">
        <v>42948</v>
      </c>
      <c r="B46" s="9">
        <f t="shared" si="0"/>
        <v>7.3283719354462915E-2</v>
      </c>
      <c r="C46" s="10">
        <f t="shared" si="6"/>
        <v>2986417566961.2695</v>
      </c>
      <c r="D46" s="6">
        <f t="shared" si="1"/>
        <v>40751446477714.828</v>
      </c>
      <c r="E46" s="6">
        <f t="shared" si="2"/>
        <v>23977729004023.25</v>
      </c>
      <c r="F46" s="8">
        <v>16881635672400</v>
      </c>
      <c r="G46" s="8">
        <v>9926370819027.0508</v>
      </c>
      <c r="H46" s="8">
        <v>10962966725200</v>
      </c>
      <c r="I46" s="8">
        <v>6707880023555.5098</v>
      </c>
      <c r="J46" s="8">
        <v>11166454843682.9</v>
      </c>
      <c r="K46" s="8">
        <v>6255338388084.2695</v>
      </c>
      <c r="L46" s="8">
        <v>1740389236431.9299</v>
      </c>
      <c r="M46" s="8">
        <v>1088139773356.42</v>
      </c>
    </row>
    <row r="47" spans="1:13" ht="16.8" thickBot="1" x14ac:dyDescent="0.4">
      <c r="A47" s="1">
        <v>42979</v>
      </c>
      <c r="B47" s="9">
        <f t="shared" si="0"/>
        <v>7.4234531073113827E-2</v>
      </c>
      <c r="C47" s="10">
        <f t="shared" si="6"/>
        <v>3028227531439.207</v>
      </c>
      <c r="D47" s="6">
        <f t="shared" si="1"/>
        <v>40792707755595.523</v>
      </c>
      <c r="E47" s="6">
        <f t="shared" si="2"/>
        <v>27005956535462.457</v>
      </c>
      <c r="F47" s="8">
        <v>16881638517100</v>
      </c>
      <c r="G47" s="8">
        <v>11191233865593.6</v>
      </c>
      <c r="H47" s="8">
        <v>10963613513500</v>
      </c>
      <c r="I47" s="8">
        <v>7511950707311.0801</v>
      </c>
      <c r="J47" s="8">
        <v>11210794547286.6</v>
      </c>
      <c r="K47" s="8">
        <v>7080780315068.9004</v>
      </c>
      <c r="L47" s="8">
        <v>1736661177708.9199</v>
      </c>
      <c r="M47" s="8">
        <v>1221991647488.8799</v>
      </c>
    </row>
    <row r="48" spans="1:13" ht="16.8" thickBot="1" x14ac:dyDescent="0.4">
      <c r="A48" s="1">
        <v>43009</v>
      </c>
      <c r="B48" s="9">
        <f t="shared" si="0"/>
        <v>7.7241316547473807E-2</v>
      </c>
      <c r="C48" s="10">
        <f t="shared" si="6"/>
        <v>3166479398422.168</v>
      </c>
      <c r="D48" s="6">
        <f t="shared" si="1"/>
        <v>40994632664967.547</v>
      </c>
      <c r="E48" s="6">
        <f t="shared" si="2"/>
        <v>30172435933884.625</v>
      </c>
      <c r="F48" s="8">
        <v>16891111940800</v>
      </c>
      <c r="G48" s="8">
        <v>12502227599784.6</v>
      </c>
      <c r="H48" s="8">
        <v>10963811379400</v>
      </c>
      <c r="I48" s="8">
        <v>8350718240395.3398</v>
      </c>
      <c r="J48" s="8">
        <v>11400598390045.699</v>
      </c>
      <c r="K48" s="8">
        <v>7963053474681.5098</v>
      </c>
      <c r="L48" s="8">
        <v>1739110954721.8401</v>
      </c>
      <c r="M48" s="8">
        <v>1356436619023.1799</v>
      </c>
    </row>
    <row r="49" spans="1:13" ht="16.8" thickBot="1" x14ac:dyDescent="0.4">
      <c r="A49" s="1">
        <v>43040</v>
      </c>
      <c r="B49" s="9">
        <f t="shared" si="0"/>
        <v>7.9594415245820963E-2</v>
      </c>
      <c r="C49" s="10">
        <f t="shared" si="6"/>
        <v>3276367817656.8203</v>
      </c>
      <c r="D49" s="6">
        <f t="shared" si="1"/>
        <v>41163287744975.844</v>
      </c>
      <c r="E49" s="6">
        <f t="shared" si="2"/>
        <v>33448803751541.445</v>
      </c>
      <c r="F49" s="8">
        <v>17016908727600</v>
      </c>
      <c r="G49" s="8">
        <v>13880685910917</v>
      </c>
      <c r="H49" s="8">
        <v>10967111643000</v>
      </c>
      <c r="I49" s="8">
        <v>9165800376013.4199</v>
      </c>
      <c r="J49" s="8">
        <v>11438125101118.699</v>
      </c>
      <c r="K49" s="8">
        <v>8889679094826.0605</v>
      </c>
      <c r="L49" s="8">
        <v>1741142273257.1399</v>
      </c>
      <c r="M49" s="8">
        <v>1512638369784.96</v>
      </c>
    </row>
    <row r="50" spans="1:13" ht="16.8" thickBot="1" x14ac:dyDescent="0.4">
      <c r="A50" s="1">
        <v>43070</v>
      </c>
      <c r="B50" s="9">
        <f t="shared" si="0"/>
        <v>0.13978617922590339</v>
      </c>
      <c r="C50" s="10">
        <f t="shared" si="6"/>
        <v>5756568839572.25</v>
      </c>
      <c r="D50" s="6">
        <f t="shared" si="1"/>
        <v>41181244608376.25</v>
      </c>
      <c r="E50" s="6">
        <f t="shared" si="2"/>
        <v>39205372591113.695</v>
      </c>
      <c r="F50" s="8">
        <v>17016913727600</v>
      </c>
      <c r="G50" s="8">
        <v>16420340898531.801</v>
      </c>
      <c r="H50" s="8">
        <v>10973028876500</v>
      </c>
      <c r="I50" s="8">
        <v>10238601530475.9</v>
      </c>
      <c r="J50" s="8">
        <v>11440410578520.4</v>
      </c>
      <c r="K50" s="8">
        <v>10810062883745.699</v>
      </c>
      <c r="L50" s="8">
        <v>1750891425755.8501</v>
      </c>
      <c r="M50" s="8">
        <v>1736367278360.29</v>
      </c>
    </row>
    <row r="51" spans="1:13" ht="16.8" thickBot="1" x14ac:dyDescent="0.4">
      <c r="A51" s="1">
        <v>43101</v>
      </c>
      <c r="B51" s="9">
        <f t="shared" si="0"/>
        <v>5.6407514622649244E-2</v>
      </c>
      <c r="C51" s="10">
        <f>E51</f>
        <v>2330374601127.5801</v>
      </c>
      <c r="D51" s="6">
        <f t="shared" si="1"/>
        <v>41313194114598.828</v>
      </c>
      <c r="E51" s="6">
        <f t="shared" si="2"/>
        <v>2330374601127.5801</v>
      </c>
      <c r="F51" s="8">
        <v>16713129179700</v>
      </c>
      <c r="G51" s="8">
        <v>1060317147732.3199</v>
      </c>
      <c r="H51" s="8">
        <v>11171605003900</v>
      </c>
      <c r="I51" s="8">
        <v>654031611973.03003</v>
      </c>
      <c r="J51" s="8">
        <v>11380998157590.1</v>
      </c>
      <c r="K51" s="8">
        <v>519479953149.07001</v>
      </c>
      <c r="L51" s="8">
        <v>2047461773408.73</v>
      </c>
      <c r="M51" s="8">
        <v>96545888273.160004</v>
      </c>
    </row>
    <row r="52" spans="1:13" ht="16.8" thickBot="1" x14ac:dyDescent="0.4">
      <c r="A52" s="1">
        <v>43132</v>
      </c>
      <c r="B52" s="9">
        <f t="shared" si="0"/>
        <v>7.0195115779144182E-2</v>
      </c>
      <c r="C52" s="10">
        <f>E52-E51</f>
        <v>2926830443249.2598</v>
      </c>
      <c r="D52" s="6">
        <f t="shared" si="1"/>
        <v>41695642364320.406</v>
      </c>
      <c r="E52" s="6">
        <f t="shared" si="2"/>
        <v>5257205044376.8398</v>
      </c>
      <c r="F52" s="8">
        <v>16978886705200</v>
      </c>
      <c r="G52" s="8">
        <v>2233327676962.1499</v>
      </c>
      <c r="H52" s="8">
        <v>11133827353500</v>
      </c>
      <c r="I52" s="8">
        <v>1498721735436.77</v>
      </c>
      <c r="J52" s="8">
        <v>11530344344333.699</v>
      </c>
      <c r="K52" s="8">
        <v>1271507979451.77</v>
      </c>
      <c r="L52" s="8">
        <v>2052583961286.7</v>
      </c>
      <c r="M52" s="8">
        <v>253647652526.14999</v>
      </c>
    </row>
    <row r="53" spans="1:13" ht="16.8" thickBot="1" x14ac:dyDescent="0.4">
      <c r="A53" s="1">
        <v>43160</v>
      </c>
      <c r="B53" s="9">
        <f t="shared" si="0"/>
        <v>8.3449873953928236E-2</v>
      </c>
      <c r="C53" s="10">
        <f t="shared" ref="C53:C62" si="7">E53-E52</f>
        <v>3499180452026.4609</v>
      </c>
      <c r="D53" s="6">
        <f t="shared" si="1"/>
        <v>41931524713366.5</v>
      </c>
      <c r="E53" s="6">
        <f t="shared" si="2"/>
        <v>8756385496403.3008</v>
      </c>
      <c r="F53" s="8">
        <v>17064934083700</v>
      </c>
      <c r="G53" s="8">
        <v>3671045549128.4502</v>
      </c>
      <c r="H53" s="8">
        <v>11135321326000</v>
      </c>
      <c r="I53" s="8">
        <v>2518863418221.2798</v>
      </c>
      <c r="J53" s="8">
        <v>11674332086405.4</v>
      </c>
      <c r="K53" s="8">
        <v>2142375688388.48</v>
      </c>
      <c r="L53" s="8">
        <v>2056937217261.1001</v>
      </c>
      <c r="M53" s="8">
        <v>424100840665.09003</v>
      </c>
    </row>
    <row r="54" spans="1:13" ht="16.8" thickBot="1" x14ac:dyDescent="0.4">
      <c r="A54" s="1">
        <v>43191</v>
      </c>
      <c r="B54" s="9">
        <f t="shared" si="0"/>
        <v>8.6163229955786333E-2</v>
      </c>
      <c r="C54" s="10">
        <f t="shared" si="7"/>
        <v>3628156461152.5996</v>
      </c>
      <c r="D54" s="6">
        <f t="shared" si="1"/>
        <v>42107943992052.602</v>
      </c>
      <c r="E54" s="6">
        <f t="shared" si="2"/>
        <v>12384541957555.9</v>
      </c>
      <c r="F54" s="8">
        <v>17069003899300</v>
      </c>
      <c r="G54" s="8">
        <v>5259776586036.8701</v>
      </c>
      <c r="H54" s="8">
        <v>11135321525600</v>
      </c>
      <c r="I54" s="8">
        <v>3430125578585.3799</v>
      </c>
      <c r="J54" s="8">
        <v>11846314492864.1</v>
      </c>
      <c r="K54" s="8">
        <v>3093980838238.0601</v>
      </c>
      <c r="L54" s="8">
        <v>2057304074288.5</v>
      </c>
      <c r="M54" s="8">
        <v>600658954695.58997</v>
      </c>
    </row>
    <row r="55" spans="1:13" ht="16.8" thickBot="1" x14ac:dyDescent="0.4">
      <c r="A55" s="1">
        <v>43221</v>
      </c>
      <c r="B55" s="9">
        <f t="shared" si="0"/>
        <v>7.1745398493539239E-2</v>
      </c>
      <c r="C55" s="10">
        <f t="shared" si="7"/>
        <v>3035122679626.9883</v>
      </c>
      <c r="D55" s="6">
        <f t="shared" si="1"/>
        <v>42304074454340.156</v>
      </c>
      <c r="E55" s="6">
        <f t="shared" si="2"/>
        <v>15419664637182.889</v>
      </c>
      <c r="F55" s="8">
        <v>17160077364500</v>
      </c>
      <c r="G55" s="8">
        <v>6380040337302.4102</v>
      </c>
      <c r="H55" s="8">
        <v>11136209408000</v>
      </c>
      <c r="I55" s="8">
        <v>4268538502443.77</v>
      </c>
      <c r="J55" s="8">
        <v>11948619737626</v>
      </c>
      <c r="K55" s="8">
        <v>3992752437989.04</v>
      </c>
      <c r="L55" s="8">
        <v>2059167944214.1599</v>
      </c>
      <c r="M55" s="8">
        <v>778333359447.67004</v>
      </c>
    </row>
    <row r="56" spans="1:13" ht="16.8" thickBot="1" x14ac:dyDescent="0.4">
      <c r="A56" s="1">
        <v>43252</v>
      </c>
      <c r="B56" s="9">
        <f t="shared" si="0"/>
        <v>7.9304241856382088E-2</v>
      </c>
      <c r="C56" s="10">
        <f t="shared" si="7"/>
        <v>3364158715441.0957</v>
      </c>
      <c r="D56" s="6">
        <f t="shared" si="1"/>
        <v>42420917679706.203</v>
      </c>
      <c r="E56" s="6">
        <f t="shared" si="2"/>
        <v>18783823352623.984</v>
      </c>
      <c r="F56" s="8">
        <v>17160231747200</v>
      </c>
      <c r="G56" s="8">
        <v>7679004018581.7998</v>
      </c>
      <c r="H56" s="8">
        <v>11136259499700</v>
      </c>
      <c r="I56" s="8">
        <v>5123680263453.8203</v>
      </c>
      <c r="J56" s="8">
        <v>12064397395870.801</v>
      </c>
      <c r="K56" s="8">
        <v>5032758953074.7598</v>
      </c>
      <c r="L56" s="8">
        <v>2060029036935.4099</v>
      </c>
      <c r="M56" s="8">
        <v>948380117513.59998</v>
      </c>
    </row>
    <row r="57" spans="1:13" ht="16.8" thickBot="1" x14ac:dyDescent="0.4">
      <c r="A57" s="1">
        <v>43282</v>
      </c>
      <c r="B57" s="9">
        <f t="shared" si="0"/>
        <v>7.8605261869730797E-2</v>
      </c>
      <c r="C57" s="10">
        <f t="shared" si="7"/>
        <v>3353295043642.2031</v>
      </c>
      <c r="D57" s="6">
        <f t="shared" si="1"/>
        <v>42659930949654.211</v>
      </c>
      <c r="E57" s="6">
        <f t="shared" si="2"/>
        <v>22137118396266.187</v>
      </c>
      <c r="F57" s="8">
        <v>17229300099800</v>
      </c>
      <c r="G57" s="8">
        <v>9034147799800.8008</v>
      </c>
      <c r="H57" s="8">
        <v>11225641780200</v>
      </c>
      <c r="I57" s="8">
        <v>6007325774039.5</v>
      </c>
      <c r="J57" s="8">
        <v>12143936435130</v>
      </c>
      <c r="K57" s="8">
        <v>5978072206682.4902</v>
      </c>
      <c r="L57" s="8">
        <v>2061052634524.21</v>
      </c>
      <c r="M57" s="8">
        <v>1117572615743.3999</v>
      </c>
    </row>
    <row r="58" spans="1:13" ht="16.8" thickBot="1" x14ac:dyDescent="0.4">
      <c r="A58" s="1">
        <v>43313</v>
      </c>
      <c r="B58" s="9">
        <f t="shared" si="0"/>
        <v>7.2354333512687094E-2</v>
      </c>
      <c r="C58" s="10">
        <f t="shared" si="7"/>
        <v>3088841839205.8711</v>
      </c>
      <c r="D58" s="6">
        <f t="shared" si="1"/>
        <v>42690488451037.32</v>
      </c>
      <c r="E58" s="6">
        <f t="shared" si="2"/>
        <v>25225960235472.059</v>
      </c>
      <c r="F58" s="8">
        <v>17229300508800</v>
      </c>
      <c r="G58" s="8">
        <v>10184913978655.199</v>
      </c>
      <c r="H58" s="8">
        <v>11226460688800</v>
      </c>
      <c r="I58" s="8">
        <v>6880296824020.3496</v>
      </c>
      <c r="J58" s="8">
        <v>12173724086701.1</v>
      </c>
      <c r="K58" s="8">
        <v>6872989494867.8701</v>
      </c>
      <c r="L58" s="8">
        <v>2061003166736.22</v>
      </c>
      <c r="M58" s="8">
        <v>1287759937928.6399</v>
      </c>
    </row>
    <row r="59" spans="1:13" ht="16.8" thickBot="1" x14ac:dyDescent="0.4">
      <c r="A59" s="1">
        <v>43344</v>
      </c>
      <c r="B59" s="9">
        <f t="shared" si="0"/>
        <v>7.1394362151297311E-2</v>
      </c>
      <c r="C59" s="10">
        <f t="shared" si="7"/>
        <v>3053541107357.4531</v>
      </c>
      <c r="D59" s="6">
        <f t="shared" si="1"/>
        <v>42770059362481.008</v>
      </c>
      <c r="E59" s="6">
        <f t="shared" si="2"/>
        <v>28279501342829.512</v>
      </c>
      <c r="F59" s="8">
        <v>17229326552100</v>
      </c>
      <c r="G59" s="8">
        <v>11370206481271.301</v>
      </c>
      <c r="H59" s="8">
        <v>11226323003400</v>
      </c>
      <c r="I59" s="8">
        <v>7733009173450.71</v>
      </c>
      <c r="J59" s="8">
        <v>12251189713453.301</v>
      </c>
      <c r="K59" s="8">
        <v>7722774868333.79</v>
      </c>
      <c r="L59" s="8">
        <v>2063220093527.71</v>
      </c>
      <c r="M59" s="8">
        <v>1453510819773.71</v>
      </c>
    </row>
    <row r="60" spans="1:13" ht="16.8" thickBot="1" x14ac:dyDescent="0.4">
      <c r="A60" s="1">
        <v>43374</v>
      </c>
      <c r="B60" s="9">
        <f t="shared" si="0"/>
        <v>7.9153121714094568E-2</v>
      </c>
      <c r="C60" s="10">
        <f t="shared" si="7"/>
        <v>3396853509510.7773</v>
      </c>
      <c r="D60" s="6">
        <f t="shared" si="1"/>
        <v>42914965777097.195</v>
      </c>
      <c r="E60" s="6">
        <f t="shared" si="2"/>
        <v>31676354852340.289</v>
      </c>
      <c r="F60" s="8">
        <v>17229334704800</v>
      </c>
      <c r="G60" s="8">
        <v>12720128136568.699</v>
      </c>
      <c r="H60" s="8">
        <v>11231115479300</v>
      </c>
      <c r="I60" s="8">
        <v>8630910087648.2803</v>
      </c>
      <c r="J60" s="8">
        <v>12386381409934.4</v>
      </c>
      <c r="K60" s="8">
        <v>8709901194609.9102</v>
      </c>
      <c r="L60" s="8">
        <v>2068134183062.8</v>
      </c>
      <c r="M60" s="8">
        <v>1615415433513.3999</v>
      </c>
    </row>
    <row r="61" spans="1:13" ht="16.8" thickBot="1" x14ac:dyDescent="0.4">
      <c r="A61" s="1">
        <v>43405</v>
      </c>
      <c r="B61" s="9">
        <f t="shared" si="0"/>
        <v>7.8046236354924359E-2</v>
      </c>
      <c r="C61" s="10">
        <f t="shared" si="7"/>
        <v>3373280446982.9023</v>
      </c>
      <c r="D61" s="6">
        <f t="shared" si="1"/>
        <v>43221564607452.898</v>
      </c>
      <c r="E61" s="6">
        <f t="shared" si="2"/>
        <v>35049635299323.191</v>
      </c>
      <c r="F61" s="8">
        <v>17480025583500</v>
      </c>
      <c r="G61" s="8">
        <v>14012225702137.301</v>
      </c>
      <c r="H61" s="8">
        <v>11232786078800</v>
      </c>
      <c r="I61" s="8">
        <v>9499432560937.8008</v>
      </c>
      <c r="J61" s="8">
        <v>12431898479638.301</v>
      </c>
      <c r="K61" s="8">
        <v>9733802336865.6797</v>
      </c>
      <c r="L61" s="8">
        <v>2076854465514.6001</v>
      </c>
      <c r="M61" s="8">
        <v>1804174699382.4099</v>
      </c>
    </row>
    <row r="62" spans="1:13" ht="16.8" thickBot="1" x14ac:dyDescent="0.4">
      <c r="A62" s="1">
        <v>43435</v>
      </c>
      <c r="B62" s="9">
        <f t="shared" si="0"/>
        <v>0.14617618648683828</v>
      </c>
      <c r="C62" s="10">
        <f t="shared" si="7"/>
        <v>6325973719213.9492</v>
      </c>
      <c r="D62" s="6">
        <f t="shared" si="1"/>
        <v>43276363074251.773</v>
      </c>
      <c r="E62" s="6">
        <f t="shared" si="2"/>
        <v>41375609018537.141</v>
      </c>
      <c r="F62" s="8">
        <v>17491254333200</v>
      </c>
      <c r="G62" s="8">
        <v>16712906266725.6</v>
      </c>
      <c r="H62" s="8">
        <v>11244947064200</v>
      </c>
      <c r="I62" s="8">
        <v>10715544161311.1</v>
      </c>
      <c r="J62" s="8">
        <v>12458050107409.5</v>
      </c>
      <c r="K62" s="8">
        <v>11882169756656</v>
      </c>
      <c r="L62" s="8">
        <v>2082111569442.27</v>
      </c>
      <c r="M62" s="8">
        <v>2064988833844.4399</v>
      </c>
    </row>
    <row r="63" spans="1:13" ht="16.8" thickBot="1" x14ac:dyDescent="0.4">
      <c r="A63" s="1">
        <v>43466</v>
      </c>
      <c r="B63" s="9">
        <f t="shared" si="0"/>
        <v>5.3976626427885019E-2</v>
      </c>
      <c r="C63" s="10">
        <f>E63</f>
        <v>2424221190875.9199</v>
      </c>
      <c r="D63" s="6">
        <f t="shared" si="1"/>
        <v>44912425086713.758</v>
      </c>
      <c r="E63" s="6">
        <f t="shared" si="2"/>
        <v>2424221190875.9199</v>
      </c>
      <c r="F63" s="8">
        <v>18224365739300</v>
      </c>
      <c r="G63" s="8">
        <v>1119635004710.8899</v>
      </c>
      <c r="H63" s="8">
        <v>11567397943200</v>
      </c>
      <c r="I63" s="8">
        <v>609432888274.04004</v>
      </c>
      <c r="J63" s="8">
        <v>12862985004900</v>
      </c>
      <c r="K63" s="8">
        <v>582151890054.43005</v>
      </c>
      <c r="L63" s="8">
        <v>2257676399313.7598</v>
      </c>
      <c r="M63" s="8">
        <v>113001407836.56</v>
      </c>
    </row>
    <row r="64" spans="1:13" ht="16.8" thickBot="1" x14ac:dyDescent="0.4">
      <c r="A64" s="1">
        <v>43497</v>
      </c>
      <c r="B64" s="9">
        <f t="shared" si="0"/>
        <v>7.2400490429240169E-2</v>
      </c>
      <c r="C64" s="10">
        <f>E64-E63</f>
        <v>3289467666248.4199</v>
      </c>
      <c r="D64" s="6">
        <f t="shared" si="1"/>
        <v>45434328507254.312</v>
      </c>
      <c r="E64" s="6">
        <f t="shared" si="2"/>
        <v>5713688857124.3398</v>
      </c>
      <c r="F64" s="8">
        <v>18544235743900</v>
      </c>
      <c r="G64" s="8">
        <v>2465264955063.2598</v>
      </c>
      <c r="H64" s="8">
        <v>11530148102500</v>
      </c>
      <c r="I64" s="8">
        <v>1534732761451.8899</v>
      </c>
      <c r="J64" s="8">
        <v>13092487016927.6</v>
      </c>
      <c r="K64" s="8">
        <v>1423834083815.75</v>
      </c>
      <c r="L64" s="8">
        <v>2267457643926.71</v>
      </c>
      <c r="M64" s="8">
        <v>289857056793.44</v>
      </c>
    </row>
    <row r="65" spans="1:13" ht="16.8" thickBot="1" x14ac:dyDescent="0.4">
      <c r="A65" s="1">
        <v>43525</v>
      </c>
      <c r="B65" s="9">
        <f t="shared" si="0"/>
        <v>7.6546318627117887E-2</v>
      </c>
      <c r="C65" s="10">
        <f t="shared" ref="C65:C74" si="8">E65-E64</f>
        <v>3526864330788.8711</v>
      </c>
      <c r="D65" s="6">
        <f t="shared" si="1"/>
        <v>46074904633485.758</v>
      </c>
      <c r="E65" s="6">
        <f t="shared" si="2"/>
        <v>9240553187913.2109</v>
      </c>
      <c r="F65" s="8">
        <v>18782835632800</v>
      </c>
      <c r="G65" s="8">
        <v>3924070308046.9199</v>
      </c>
      <c r="H65" s="8">
        <v>11530322609700</v>
      </c>
      <c r="I65" s="8">
        <v>2483543050068.2402</v>
      </c>
      <c r="J65" s="8">
        <v>13492594170741.5</v>
      </c>
      <c r="K65" s="8">
        <v>2359284188653.2002</v>
      </c>
      <c r="L65" s="8">
        <v>2269152220244.2598</v>
      </c>
      <c r="M65" s="8">
        <v>473655641144.84998</v>
      </c>
    </row>
    <row r="66" spans="1:13" ht="16.8" thickBot="1" x14ac:dyDescent="0.4">
      <c r="A66" s="1">
        <v>43556</v>
      </c>
      <c r="B66" s="9">
        <f t="shared" si="0"/>
        <v>8.767150958502469E-2</v>
      </c>
      <c r="C66" s="10">
        <f t="shared" si="8"/>
        <v>4056743029774.25</v>
      </c>
      <c r="D66" s="6">
        <f t="shared" si="1"/>
        <v>46272079139232.578</v>
      </c>
      <c r="E66" s="6">
        <f t="shared" si="2"/>
        <v>13297296217687.461</v>
      </c>
      <c r="F66" s="8">
        <v>18798392684700</v>
      </c>
      <c r="G66" s="8">
        <v>5545338002049.71</v>
      </c>
      <c r="H66" s="8">
        <v>11534482875500</v>
      </c>
      <c r="I66" s="8">
        <v>3598729587509.77</v>
      </c>
      <c r="J66" s="8">
        <v>13668537454084.5</v>
      </c>
      <c r="K66" s="8">
        <v>3488003499936.7202</v>
      </c>
      <c r="L66" s="8">
        <v>2270666124948.0801</v>
      </c>
      <c r="M66" s="8">
        <v>665225128191.26001</v>
      </c>
    </row>
    <row r="67" spans="1:13" ht="16.8" thickBot="1" x14ac:dyDescent="0.4">
      <c r="A67" s="1">
        <v>43586</v>
      </c>
      <c r="B67" s="9">
        <f t="shared" si="0"/>
        <v>6.2355825719220055E-2</v>
      </c>
      <c r="C67" s="10">
        <f t="shared" si="8"/>
        <v>2894679737982.8887</v>
      </c>
      <c r="D67" s="6">
        <f t="shared" si="1"/>
        <v>46421961454207.094</v>
      </c>
      <c r="E67" s="6">
        <f t="shared" si="2"/>
        <v>16191975955670.35</v>
      </c>
      <c r="F67" s="8">
        <v>18801529818600</v>
      </c>
      <c r="G67" s="8">
        <v>6584151388931.4404</v>
      </c>
      <c r="H67" s="8">
        <v>11537351744400</v>
      </c>
      <c r="I67" s="8">
        <v>4358992274206.7798</v>
      </c>
      <c r="J67" s="8">
        <v>13808732373860.5</v>
      </c>
      <c r="K67" s="8">
        <v>4383203904856.1001</v>
      </c>
      <c r="L67" s="8">
        <v>2274347517346.5898</v>
      </c>
      <c r="M67" s="8">
        <v>865628387676.03003</v>
      </c>
    </row>
    <row r="68" spans="1:13" ht="16.8" thickBot="1" x14ac:dyDescent="0.4">
      <c r="A68" s="1">
        <v>43617</v>
      </c>
      <c r="B68" s="9">
        <f t="shared" ref="B68:B131" si="9">C68/D68</f>
        <v>7.476900908643469E-2</v>
      </c>
      <c r="C68" s="10">
        <f t="shared" si="8"/>
        <v>3478627064916.5137</v>
      </c>
      <c r="D68" s="6">
        <f t="shared" ref="D68:D131" si="10">SUM(F68,H68,J68,L68)</f>
        <v>46524985517664.695</v>
      </c>
      <c r="E68" s="6">
        <f t="shared" ref="E68:E131" si="11">SUM(G68,I68,K68,M68)</f>
        <v>19670603020586.863</v>
      </c>
      <c r="F68" s="8">
        <v>18801795520800</v>
      </c>
      <c r="G68" s="8">
        <v>7854118681517.9004</v>
      </c>
      <c r="H68" s="8">
        <v>11537351917100</v>
      </c>
      <c r="I68" s="8">
        <v>5257933049807.4404</v>
      </c>
      <c r="J68" s="8">
        <v>13907854994528.699</v>
      </c>
      <c r="K68" s="8">
        <v>5503123360196.6504</v>
      </c>
      <c r="L68" s="8">
        <v>2277983085235.9902</v>
      </c>
      <c r="M68" s="8">
        <v>1055427929064.87</v>
      </c>
    </row>
    <row r="69" spans="1:13" ht="16.8" thickBot="1" x14ac:dyDescent="0.4">
      <c r="A69" s="1">
        <v>43647</v>
      </c>
      <c r="B69" s="9">
        <f t="shared" si="9"/>
        <v>7.9193454948139633E-2</v>
      </c>
      <c r="C69" s="10">
        <f t="shared" si="8"/>
        <v>3720981322215.5937</v>
      </c>
      <c r="D69" s="6">
        <f t="shared" si="10"/>
        <v>46985970300857.609</v>
      </c>
      <c r="E69" s="6">
        <f t="shared" si="11"/>
        <v>23391584342802.457</v>
      </c>
      <c r="F69" s="8">
        <v>19138976246700</v>
      </c>
      <c r="G69" s="8">
        <v>9320184703455.1094</v>
      </c>
      <c r="H69" s="8">
        <v>11538452039200</v>
      </c>
      <c r="I69" s="8">
        <v>6200105473850.0596</v>
      </c>
      <c r="J69" s="8">
        <v>14028299846933.301</v>
      </c>
      <c r="K69" s="8">
        <v>6629688690241.0996</v>
      </c>
      <c r="L69" s="8">
        <v>2280242168024.3101</v>
      </c>
      <c r="M69" s="8">
        <v>1241605475256.1899</v>
      </c>
    </row>
    <row r="70" spans="1:13" ht="16.8" thickBot="1" x14ac:dyDescent="0.4">
      <c r="A70" s="1">
        <v>43678</v>
      </c>
      <c r="B70" s="9">
        <f t="shared" si="9"/>
        <v>7.1450607781841216E-2</v>
      </c>
      <c r="C70" s="10">
        <f t="shared" si="8"/>
        <v>3360651815314.5898</v>
      </c>
      <c r="D70" s="6">
        <f t="shared" si="10"/>
        <v>47034614814972.664</v>
      </c>
      <c r="E70" s="6">
        <f t="shared" si="11"/>
        <v>26752236158117.047</v>
      </c>
      <c r="F70" s="8">
        <v>19139290105600</v>
      </c>
      <c r="G70" s="8">
        <v>10582426026087.4</v>
      </c>
      <c r="H70" s="8">
        <v>11534424763800</v>
      </c>
      <c r="I70" s="8">
        <v>7125222461464</v>
      </c>
      <c r="J70" s="8">
        <v>14080181675222.699</v>
      </c>
      <c r="K70" s="8">
        <v>7613300117064.0898</v>
      </c>
      <c r="L70" s="8">
        <v>2280718270349.96</v>
      </c>
      <c r="M70" s="8">
        <v>1431287553501.5601</v>
      </c>
    </row>
    <row r="71" spans="1:13" ht="16.8" thickBot="1" x14ac:dyDescent="0.4">
      <c r="A71" s="1">
        <v>43709</v>
      </c>
      <c r="B71" s="9">
        <f t="shared" si="9"/>
        <v>7.8265885346615646E-2</v>
      </c>
      <c r="C71" s="10">
        <f t="shared" si="8"/>
        <v>3689489117938.4648</v>
      </c>
      <c r="D71" s="6">
        <f t="shared" si="10"/>
        <v>47140450805594.891</v>
      </c>
      <c r="E71" s="6">
        <f t="shared" si="11"/>
        <v>30441725276055.512</v>
      </c>
      <c r="F71" s="8">
        <v>19139400713800</v>
      </c>
      <c r="G71" s="8">
        <v>11948250037081.801</v>
      </c>
      <c r="H71" s="8">
        <v>11545312346600</v>
      </c>
      <c r="I71" s="8">
        <v>8132924351463.5303</v>
      </c>
      <c r="J71" s="8">
        <v>14171769813202.9</v>
      </c>
      <c r="K71" s="8">
        <v>8747552330520.9805</v>
      </c>
      <c r="L71" s="8">
        <v>2283967931991.9902</v>
      </c>
      <c r="M71" s="8">
        <v>1612998556989.2</v>
      </c>
    </row>
    <row r="72" spans="1:13" ht="16.8" thickBot="1" x14ac:dyDescent="0.4">
      <c r="A72" s="1">
        <v>43739</v>
      </c>
      <c r="B72" s="9">
        <f t="shared" si="9"/>
        <v>8.0963255749509924E-2</v>
      </c>
      <c r="C72" s="10">
        <f t="shared" si="8"/>
        <v>3828950163256.6016</v>
      </c>
      <c r="D72" s="6">
        <f t="shared" si="10"/>
        <v>47292443069518.961</v>
      </c>
      <c r="E72" s="6">
        <f t="shared" si="11"/>
        <v>34270675439312.113</v>
      </c>
      <c r="F72" s="8">
        <v>19139734507200</v>
      </c>
      <c r="G72" s="8">
        <v>13515266888763.4</v>
      </c>
      <c r="H72" s="8">
        <v>11547111216700</v>
      </c>
      <c r="I72" s="8">
        <v>8994020916729.1992</v>
      </c>
      <c r="J72" s="8">
        <v>14300943428618.699</v>
      </c>
      <c r="K72" s="8">
        <v>9961968854345.4805</v>
      </c>
      <c r="L72" s="8">
        <v>2304653917000.2598</v>
      </c>
      <c r="M72" s="8">
        <v>1799418779474.03</v>
      </c>
    </row>
    <row r="73" spans="1:13" ht="16.8" thickBot="1" x14ac:dyDescent="0.4">
      <c r="A73" s="1">
        <v>43770</v>
      </c>
      <c r="B73" s="9">
        <f t="shared" si="9"/>
        <v>7.8367729197036357E-2</v>
      </c>
      <c r="C73" s="10">
        <f t="shared" si="8"/>
        <v>3712846679281.5195</v>
      </c>
      <c r="D73" s="6">
        <f t="shared" si="10"/>
        <v>47377239551582.273</v>
      </c>
      <c r="E73" s="6">
        <f t="shared" si="11"/>
        <v>37983522118593.633</v>
      </c>
      <c r="F73" s="8">
        <v>19139746371900</v>
      </c>
      <c r="G73" s="8">
        <v>14926338073301.9</v>
      </c>
      <c r="H73" s="8">
        <v>11559368134400</v>
      </c>
      <c r="I73" s="8">
        <v>9911275411902.0801</v>
      </c>
      <c r="J73" s="8">
        <v>14366480446860.699</v>
      </c>
      <c r="K73" s="8">
        <v>11145884504135.801</v>
      </c>
      <c r="L73" s="8">
        <v>2311644598421.5698</v>
      </c>
      <c r="M73" s="8">
        <v>2000024129253.8501</v>
      </c>
    </row>
    <row r="74" spans="1:13" ht="16.8" thickBot="1" x14ac:dyDescent="0.4">
      <c r="A74" s="1">
        <v>43800</v>
      </c>
      <c r="B74" s="9">
        <f t="shared" si="9"/>
        <v>0.15211768193004896</v>
      </c>
      <c r="C74" s="10">
        <f t="shared" si="8"/>
        <v>7244071323321.6172</v>
      </c>
      <c r="D74" s="6">
        <f t="shared" si="10"/>
        <v>47621494302370.391</v>
      </c>
      <c r="E74" s="6">
        <f t="shared" si="11"/>
        <v>45227593441915.25</v>
      </c>
      <c r="F74" s="8">
        <v>19335496396400</v>
      </c>
      <c r="G74" s="8">
        <v>18213236407146.801</v>
      </c>
      <c r="H74" s="8">
        <v>11649028260400</v>
      </c>
      <c r="I74" s="8">
        <v>11166319418496.4</v>
      </c>
      <c r="J74" s="8">
        <v>14320855649630.699</v>
      </c>
      <c r="K74" s="8">
        <v>13567696220802.199</v>
      </c>
      <c r="L74" s="8">
        <v>2316113995939.6899</v>
      </c>
      <c r="M74" s="8">
        <v>2280341395469.8398</v>
      </c>
    </row>
    <row r="75" spans="1:13" ht="16.8" thickBot="1" x14ac:dyDescent="0.4">
      <c r="A75" s="1">
        <v>43831</v>
      </c>
      <c r="B75" s="9">
        <f t="shared" si="9"/>
        <v>6.226341166202172E-2</v>
      </c>
      <c r="C75" s="10">
        <f>E75</f>
        <v>3081755006343.2695</v>
      </c>
      <c r="D75" s="6">
        <f t="shared" si="10"/>
        <v>49495440806739.812</v>
      </c>
      <c r="E75" s="6">
        <f t="shared" si="11"/>
        <v>3081755006343.2695</v>
      </c>
      <c r="F75" s="8">
        <v>20040360432900</v>
      </c>
      <c r="G75" s="8">
        <v>1624372208930.9099</v>
      </c>
      <c r="H75" s="8">
        <v>12199253823300</v>
      </c>
      <c r="I75" s="8">
        <v>657620556561.18994</v>
      </c>
      <c r="J75" s="8">
        <v>14810292366239.5</v>
      </c>
      <c r="K75" s="8">
        <v>673688059336</v>
      </c>
      <c r="L75" s="8">
        <v>2445534184300.3101</v>
      </c>
      <c r="M75" s="8">
        <v>126074181515.17</v>
      </c>
    </row>
    <row r="76" spans="1:13" ht="16.8" thickBot="1" x14ac:dyDescent="0.4">
      <c r="A76" s="1">
        <v>43862</v>
      </c>
      <c r="B76" s="9">
        <f t="shared" si="9"/>
        <v>6.9662425802943961E-2</v>
      </c>
      <c r="C76" s="10">
        <f>E76-E75</f>
        <v>3481045383272.9199</v>
      </c>
      <c r="D76" s="6">
        <f t="shared" si="10"/>
        <v>49970200479665.32</v>
      </c>
      <c r="E76" s="6">
        <f t="shared" si="11"/>
        <v>6562800389616.1895</v>
      </c>
      <c r="F76" s="8">
        <v>20299557611000</v>
      </c>
      <c r="G76" s="8">
        <v>2982174103893.3701</v>
      </c>
      <c r="H76" s="8">
        <v>12200601640200</v>
      </c>
      <c r="I76" s="8">
        <v>1640983161489.47</v>
      </c>
      <c r="J76" s="8">
        <v>15007986721281.301</v>
      </c>
      <c r="K76" s="8">
        <v>1619181319614.6201</v>
      </c>
      <c r="L76" s="8">
        <v>2462054507184.02</v>
      </c>
      <c r="M76" s="8">
        <v>320461804618.72998</v>
      </c>
    </row>
    <row r="77" spans="1:13" ht="16.8" thickBot="1" x14ac:dyDescent="0.4">
      <c r="A77" s="1">
        <v>43891</v>
      </c>
      <c r="B77" s="9">
        <f t="shared" si="9"/>
        <v>8.4101128889670224E-2</v>
      </c>
      <c r="C77" s="10">
        <f t="shared" ref="C77:C86" si="12">E77-E76</f>
        <v>4284046296964.832</v>
      </c>
      <c r="D77" s="6">
        <f t="shared" si="10"/>
        <v>50939224639718.516</v>
      </c>
      <c r="E77" s="6">
        <f t="shared" si="11"/>
        <v>10846846686581.021</v>
      </c>
      <c r="F77" s="8">
        <v>20796895014200</v>
      </c>
      <c r="G77" s="8">
        <v>4617955537195.4805</v>
      </c>
      <c r="H77" s="8">
        <v>12364679738900</v>
      </c>
      <c r="I77" s="8">
        <v>2969352805408.1299</v>
      </c>
      <c r="J77" s="8">
        <v>15301380499921.1</v>
      </c>
      <c r="K77" s="8">
        <v>2721796471306.7798</v>
      </c>
      <c r="L77" s="8">
        <v>2476269386697.4102</v>
      </c>
      <c r="M77" s="8">
        <v>537741872670.63</v>
      </c>
    </row>
    <row r="78" spans="1:13" ht="16.8" thickBot="1" x14ac:dyDescent="0.4">
      <c r="A78" s="1">
        <v>43922</v>
      </c>
      <c r="B78" s="9">
        <f t="shared" si="9"/>
        <v>9.1361743168674403E-2</v>
      </c>
      <c r="C78" s="10">
        <f t="shared" si="12"/>
        <v>4785979411202.0508</v>
      </c>
      <c r="D78" s="6">
        <f t="shared" si="10"/>
        <v>52384939748424.594</v>
      </c>
      <c r="E78" s="6">
        <f t="shared" si="11"/>
        <v>15632826097783.072</v>
      </c>
      <c r="F78" s="8">
        <v>21870740307100</v>
      </c>
      <c r="G78" s="8">
        <v>6755338964052.3301</v>
      </c>
      <c r="H78" s="8">
        <v>12414145832900</v>
      </c>
      <c r="I78" s="8">
        <v>3969857033571.3799</v>
      </c>
      <c r="J78" s="8">
        <v>15619101994410.699</v>
      </c>
      <c r="K78" s="8">
        <v>4127147884594.8901</v>
      </c>
      <c r="L78" s="8">
        <v>2480951614013.8901</v>
      </c>
      <c r="M78" s="8">
        <v>780482215564.46997</v>
      </c>
    </row>
    <row r="79" spans="1:13" ht="16.8" thickBot="1" x14ac:dyDescent="0.4">
      <c r="A79" s="1">
        <v>43952</v>
      </c>
      <c r="B79" s="9">
        <f t="shared" si="9"/>
        <v>6.5239645228519369E-2</v>
      </c>
      <c r="C79" s="10">
        <f t="shared" si="12"/>
        <v>3447076441944.166</v>
      </c>
      <c r="D79" s="6">
        <f t="shared" si="10"/>
        <v>52837142658729.297</v>
      </c>
      <c r="E79" s="6">
        <f t="shared" si="11"/>
        <v>19079902539727.238</v>
      </c>
      <c r="F79" s="8">
        <v>21932781107000</v>
      </c>
      <c r="G79" s="8">
        <v>8164742723917.9805</v>
      </c>
      <c r="H79" s="8">
        <v>12647863392200</v>
      </c>
      <c r="I79" s="8">
        <v>4733392522101.1201</v>
      </c>
      <c r="J79" s="8">
        <v>15774473492599.699</v>
      </c>
      <c r="K79" s="8">
        <v>5200768843714.7598</v>
      </c>
      <c r="L79" s="8">
        <v>2482024666929.5898</v>
      </c>
      <c r="M79" s="8">
        <v>980998449993.38</v>
      </c>
    </row>
    <row r="80" spans="1:13" ht="16.8" thickBot="1" x14ac:dyDescent="0.4">
      <c r="A80" s="1">
        <v>43983</v>
      </c>
      <c r="B80" s="9">
        <f t="shared" si="9"/>
        <v>8.9554766170601693E-2</v>
      </c>
      <c r="C80" s="10">
        <f t="shared" si="12"/>
        <v>4768676690284.7227</v>
      </c>
      <c r="D80" s="6">
        <f t="shared" si="10"/>
        <v>53248720243436.297</v>
      </c>
      <c r="E80" s="6">
        <f t="shared" si="11"/>
        <v>23848579230011.961</v>
      </c>
      <c r="F80" s="8">
        <v>21933200523200</v>
      </c>
      <c r="G80" s="8">
        <v>9915015231811.4102</v>
      </c>
      <c r="H80" s="8">
        <v>12937362874000</v>
      </c>
      <c r="I80" s="8">
        <v>6216857821272.54</v>
      </c>
      <c r="J80" s="8">
        <v>15893590967295.4</v>
      </c>
      <c r="K80" s="8">
        <v>6544388947907.1904</v>
      </c>
      <c r="L80" s="8">
        <v>2484565878940.8999</v>
      </c>
      <c r="M80" s="8">
        <v>1172317229020.8201</v>
      </c>
    </row>
    <row r="81" spans="1:13" ht="16.8" thickBot="1" x14ac:dyDescent="0.4">
      <c r="A81" s="1">
        <v>44013</v>
      </c>
      <c r="B81" s="9">
        <f t="shared" si="9"/>
        <v>8.332830643090218E-2</v>
      </c>
      <c r="C81" s="10">
        <f t="shared" si="12"/>
        <v>4451483705756.3086</v>
      </c>
      <c r="D81" s="6">
        <f t="shared" si="10"/>
        <v>53421026976560.305</v>
      </c>
      <c r="E81" s="6">
        <f t="shared" si="11"/>
        <v>28300062935768.27</v>
      </c>
      <c r="F81" s="8">
        <v>21934203029600</v>
      </c>
      <c r="G81" s="8">
        <v>11794888148720.5</v>
      </c>
      <c r="H81" s="8">
        <v>12959318180400</v>
      </c>
      <c r="I81" s="8">
        <v>7265471124645.0498</v>
      </c>
      <c r="J81" s="8">
        <v>16041177762333.1</v>
      </c>
      <c r="K81" s="8">
        <v>7869531761617.8096</v>
      </c>
      <c r="L81" s="8">
        <v>2486328004227.2002</v>
      </c>
      <c r="M81" s="8">
        <v>1370171900784.9099</v>
      </c>
    </row>
    <row r="82" spans="1:13" ht="16.8" thickBot="1" x14ac:dyDescent="0.4">
      <c r="A82" s="1">
        <v>44044</v>
      </c>
      <c r="B82" s="9">
        <f t="shared" si="9"/>
        <v>6.8631240956743403E-2</v>
      </c>
      <c r="C82" s="10">
        <f t="shared" si="12"/>
        <v>3800678732572.0586</v>
      </c>
      <c r="D82" s="6">
        <f t="shared" si="10"/>
        <v>55378260389718.633</v>
      </c>
      <c r="E82" s="6">
        <f t="shared" si="11"/>
        <v>32100741668340.328</v>
      </c>
      <c r="F82" s="8">
        <v>23734206508600</v>
      </c>
      <c r="G82" s="8">
        <v>13256784723133</v>
      </c>
      <c r="H82" s="8">
        <v>12960033970600</v>
      </c>
      <c r="I82" s="8">
        <v>8271688041365.3398</v>
      </c>
      <c r="J82" s="8">
        <v>16196472469572.1</v>
      </c>
      <c r="K82" s="8">
        <v>9008381054225.9902</v>
      </c>
      <c r="L82" s="8">
        <v>2487547440946.5298</v>
      </c>
      <c r="M82" s="8">
        <v>1563887849616</v>
      </c>
    </row>
    <row r="83" spans="1:13" ht="16.8" thickBot="1" x14ac:dyDescent="0.4">
      <c r="A83" s="1">
        <v>44075</v>
      </c>
      <c r="B83" s="9">
        <f t="shared" si="9"/>
        <v>7.3460884777581392E-2</v>
      </c>
      <c r="C83" s="10">
        <f t="shared" si="12"/>
        <v>4086839150708.9219</v>
      </c>
      <c r="D83" s="6">
        <f t="shared" si="10"/>
        <v>55632860441072.898</v>
      </c>
      <c r="E83" s="6">
        <f t="shared" si="11"/>
        <v>36187580819049.25</v>
      </c>
      <c r="F83" s="8">
        <v>23734212788600</v>
      </c>
      <c r="G83" s="8">
        <v>14873526557706</v>
      </c>
      <c r="H83" s="8">
        <v>13039466133400</v>
      </c>
      <c r="I83" s="8">
        <v>9275194901850.8691</v>
      </c>
      <c r="J83" s="8">
        <v>16354067816276.4</v>
      </c>
      <c r="K83" s="8">
        <v>10265930489332.199</v>
      </c>
      <c r="L83" s="8">
        <v>2505113702796.5</v>
      </c>
      <c r="M83" s="8">
        <v>1772928870160.1799</v>
      </c>
    </row>
    <row r="84" spans="1:13" ht="16.8" thickBot="1" x14ac:dyDescent="0.4">
      <c r="A84" s="1">
        <v>44105</v>
      </c>
      <c r="B84" s="9">
        <f t="shared" si="9"/>
        <v>8.2305584032677334E-2</v>
      </c>
      <c r="C84" s="10">
        <f t="shared" si="12"/>
        <v>4590034999471.3203</v>
      </c>
      <c r="D84" s="6">
        <f t="shared" si="10"/>
        <v>55768208845331.367</v>
      </c>
      <c r="E84" s="6">
        <f t="shared" si="11"/>
        <v>40777615818520.57</v>
      </c>
      <c r="F84" s="8">
        <v>23738145855200</v>
      </c>
      <c r="G84" s="8">
        <v>16842123263646.5</v>
      </c>
      <c r="H84" s="8">
        <v>13062224720400</v>
      </c>
      <c r="I84" s="8">
        <v>10311031737512.6</v>
      </c>
      <c r="J84" s="8">
        <v>16450567338039.4</v>
      </c>
      <c r="K84" s="8">
        <v>11648150230576.199</v>
      </c>
      <c r="L84" s="8">
        <v>2517270931691.9702</v>
      </c>
      <c r="M84" s="8">
        <v>1976310586785.27</v>
      </c>
    </row>
    <row r="85" spans="1:13" ht="16.8" thickBot="1" x14ac:dyDescent="0.4">
      <c r="A85" s="1">
        <v>44136</v>
      </c>
      <c r="B85" s="9">
        <f t="shared" si="9"/>
        <v>8.2421735045198549E-2</v>
      </c>
      <c r="C85" s="10">
        <f t="shared" si="12"/>
        <v>4611869647634.2187</v>
      </c>
      <c r="D85" s="6">
        <f t="shared" si="10"/>
        <v>55954532443476.891</v>
      </c>
      <c r="E85" s="6">
        <f t="shared" si="11"/>
        <v>45389485466154.789</v>
      </c>
      <c r="F85" s="8">
        <v>23756279330500</v>
      </c>
      <c r="G85" s="8">
        <v>18931516227478</v>
      </c>
      <c r="H85" s="8">
        <v>13115069661700</v>
      </c>
      <c r="I85" s="8">
        <v>11324556044129.6</v>
      </c>
      <c r="J85" s="8">
        <v>16550536596929.199</v>
      </c>
      <c r="K85" s="8">
        <v>12937457763746.9</v>
      </c>
      <c r="L85" s="8">
        <v>2532646854347.6899</v>
      </c>
      <c r="M85" s="8">
        <v>2195955430800.29</v>
      </c>
    </row>
    <row r="86" spans="1:13" ht="16.8" thickBot="1" x14ac:dyDescent="0.4">
      <c r="A86" s="1">
        <v>44166</v>
      </c>
      <c r="B86" s="9">
        <f t="shared" si="9"/>
        <v>0.14721271531485253</v>
      </c>
      <c r="C86" s="10">
        <f t="shared" si="12"/>
        <v>8282199354034.4609</v>
      </c>
      <c r="D86" s="6">
        <f t="shared" si="10"/>
        <v>56260081449627.719</v>
      </c>
      <c r="E86" s="6">
        <f t="shared" si="11"/>
        <v>53671684820189.25</v>
      </c>
      <c r="F86" s="8">
        <v>23842444301700</v>
      </c>
      <c r="G86" s="8">
        <v>22821520415583.301</v>
      </c>
      <c r="H86" s="8">
        <v>13346756118400</v>
      </c>
      <c r="I86" s="8">
        <v>12774855136261.4</v>
      </c>
      <c r="J86" s="8">
        <v>16523010755631.9</v>
      </c>
      <c r="K86" s="8">
        <v>15577741877386.5</v>
      </c>
      <c r="L86" s="8">
        <v>2547870273895.8198</v>
      </c>
      <c r="M86" s="8">
        <v>2497567390958.0498</v>
      </c>
    </row>
    <row r="87" spans="1:13" ht="16.8" thickBot="1" x14ac:dyDescent="0.4">
      <c r="A87" s="1">
        <v>44197</v>
      </c>
      <c r="B87" s="9">
        <f t="shared" si="9"/>
        <v>6.2331817510241354E-2</v>
      </c>
      <c r="C87" s="10">
        <f>E87</f>
        <v>3297723134317.5098</v>
      </c>
      <c r="D87" s="6">
        <f t="shared" si="10"/>
        <v>52905935781123.039</v>
      </c>
      <c r="E87" s="6">
        <f t="shared" si="11"/>
        <v>3297723134317.5098</v>
      </c>
      <c r="F87" s="8">
        <v>22058774342700</v>
      </c>
      <c r="G87" s="8">
        <v>1559963420027.1899</v>
      </c>
      <c r="H87" s="8">
        <v>13031574174600</v>
      </c>
      <c r="I87" s="8">
        <v>788579609389.83997</v>
      </c>
      <c r="J87" s="8">
        <v>15325625902356.5</v>
      </c>
      <c r="K87" s="8">
        <v>798294367433.75</v>
      </c>
      <c r="L87" s="8">
        <v>2489961361466.54</v>
      </c>
      <c r="M87" s="8">
        <v>150885737466.73001</v>
      </c>
    </row>
    <row r="88" spans="1:13" ht="16.8" thickBot="1" x14ac:dyDescent="0.4">
      <c r="A88" s="1">
        <v>44228</v>
      </c>
      <c r="B88" s="9">
        <f t="shared" si="9"/>
        <v>7.7621129437836597E-2</v>
      </c>
      <c r="C88" s="10">
        <f>E88-E87</f>
        <v>4140954776377.6104</v>
      </c>
      <c r="D88" s="6">
        <f t="shared" si="10"/>
        <v>53348293259426.508</v>
      </c>
      <c r="E88" s="6">
        <f t="shared" si="11"/>
        <v>7438677910695.1201</v>
      </c>
      <c r="F88" s="8">
        <v>22228992974900</v>
      </c>
      <c r="G88" s="8">
        <v>3291899396872.79</v>
      </c>
      <c r="H88" s="8">
        <v>13084417850700</v>
      </c>
      <c r="I88" s="8">
        <v>1908312191078.5601</v>
      </c>
      <c r="J88" s="8">
        <v>15525552371014.801</v>
      </c>
      <c r="K88" s="8">
        <v>1875796190673.6599</v>
      </c>
      <c r="L88" s="8">
        <v>2509330062811.71</v>
      </c>
      <c r="M88" s="8">
        <v>362670132070.10999</v>
      </c>
    </row>
    <row r="89" spans="1:13" ht="16.8" thickBot="1" x14ac:dyDescent="0.4">
      <c r="A89" s="1">
        <v>44256</v>
      </c>
      <c r="B89" s="9">
        <f t="shared" si="9"/>
        <v>8.0485931921195991E-2</v>
      </c>
      <c r="C89" s="10">
        <f t="shared" ref="C89:C98" si="13">E89-E88</f>
        <v>4341036228829.1807</v>
      </c>
      <c r="D89" s="6">
        <f t="shared" si="10"/>
        <v>53935341558565.812</v>
      </c>
      <c r="E89" s="6">
        <f t="shared" si="11"/>
        <v>11779714139524.301</v>
      </c>
      <c r="F89" s="8">
        <v>22461868260700</v>
      </c>
      <c r="G89" s="8">
        <v>5013274136560.1904</v>
      </c>
      <c r="H89" s="8">
        <v>13104295471800</v>
      </c>
      <c r="I89" s="8">
        <v>3021088954251.5498</v>
      </c>
      <c r="J89" s="8">
        <v>15841584556807.1</v>
      </c>
      <c r="K89" s="8">
        <v>3163805727346.8901</v>
      </c>
      <c r="L89" s="8">
        <v>2527593269258.71</v>
      </c>
      <c r="M89" s="8">
        <v>581545321365.67004</v>
      </c>
    </row>
    <row r="90" spans="1:13" ht="16.8" thickBot="1" x14ac:dyDescent="0.4">
      <c r="A90" s="1">
        <v>44287</v>
      </c>
      <c r="B90" s="9">
        <f t="shared" si="9"/>
        <v>9.9905982406166993E-2</v>
      </c>
      <c r="C90" s="10">
        <f t="shared" si="13"/>
        <v>5436166487427.209</v>
      </c>
      <c r="D90" s="6">
        <f t="shared" si="10"/>
        <v>54412822500723.898</v>
      </c>
      <c r="E90" s="6">
        <f t="shared" si="11"/>
        <v>17215880626951.51</v>
      </c>
      <c r="F90" s="8">
        <v>22611019992200</v>
      </c>
      <c r="G90" s="8">
        <v>7156935741645.1201</v>
      </c>
      <c r="H90" s="8">
        <v>13105677931200</v>
      </c>
      <c r="I90" s="8">
        <v>4497618660499.4404</v>
      </c>
      <c r="J90" s="8">
        <v>16114819487388.1</v>
      </c>
      <c r="K90" s="8">
        <v>4722663326264.9404</v>
      </c>
      <c r="L90" s="8">
        <v>2581305089935.7998</v>
      </c>
      <c r="M90" s="8">
        <v>838662898542.01001</v>
      </c>
    </row>
    <row r="91" spans="1:13" ht="16.8" thickBot="1" x14ac:dyDescent="0.4">
      <c r="A91" s="1">
        <v>44317</v>
      </c>
      <c r="B91" s="9">
        <f t="shared" si="9"/>
        <v>6.6417756540477726E-2</v>
      </c>
      <c r="C91" s="10">
        <f t="shared" si="13"/>
        <v>3628872606629.2402</v>
      </c>
      <c r="D91" s="6">
        <f t="shared" si="10"/>
        <v>54637084955100.156</v>
      </c>
      <c r="E91" s="6">
        <f t="shared" si="11"/>
        <v>20844753233580.75</v>
      </c>
      <c r="F91" s="8">
        <v>22732199570600</v>
      </c>
      <c r="G91" s="8">
        <v>8878166518213.6094</v>
      </c>
      <c r="H91" s="8">
        <v>13170339460200</v>
      </c>
      <c r="I91" s="8">
        <v>5199665897880.2998</v>
      </c>
      <c r="J91" s="8">
        <v>16183410436849</v>
      </c>
      <c r="K91" s="8">
        <v>5736313458010.4199</v>
      </c>
      <c r="L91" s="8">
        <v>2551135487451.1602</v>
      </c>
      <c r="M91" s="8">
        <v>1030607359476.42</v>
      </c>
    </row>
    <row r="92" spans="1:13" ht="16.8" thickBot="1" x14ac:dyDescent="0.4">
      <c r="A92" s="1">
        <v>44348</v>
      </c>
      <c r="B92" s="9">
        <f t="shared" si="9"/>
        <v>7.6848419347335412E-2</v>
      </c>
      <c r="C92" s="10">
        <f t="shared" si="13"/>
        <v>4227682560314.1797</v>
      </c>
      <c r="D92" s="6">
        <f t="shared" si="10"/>
        <v>55013266326352.453</v>
      </c>
      <c r="E92" s="6">
        <f t="shared" si="11"/>
        <v>25072435793894.93</v>
      </c>
      <c r="F92" s="8">
        <v>22734789899300</v>
      </c>
      <c r="G92" s="8">
        <v>10491108344660.9</v>
      </c>
      <c r="H92" s="8">
        <v>13179928279000</v>
      </c>
      <c r="I92" s="8">
        <v>6282032597837.2998</v>
      </c>
      <c r="J92" s="8">
        <v>16527794851685.301</v>
      </c>
      <c r="K92" s="8">
        <v>7062408306179.71</v>
      </c>
      <c r="L92" s="8">
        <v>2570753296367.1602</v>
      </c>
      <c r="M92" s="8">
        <v>1236886545217.02</v>
      </c>
    </row>
    <row r="93" spans="1:13" ht="16.8" thickBot="1" x14ac:dyDescent="0.4">
      <c r="A93" s="1">
        <v>44378</v>
      </c>
      <c r="B93" s="9">
        <f t="shared" si="9"/>
        <v>8.5000545071801908E-2</v>
      </c>
      <c r="C93" s="10">
        <f t="shared" si="13"/>
        <v>4793005970491.918</v>
      </c>
      <c r="D93" s="6">
        <f t="shared" si="10"/>
        <v>56387943941337.742</v>
      </c>
      <c r="E93" s="6">
        <f t="shared" si="11"/>
        <v>29865441764386.848</v>
      </c>
      <c r="F93" s="8">
        <v>23425874431200</v>
      </c>
      <c r="G93" s="8">
        <v>12615852472401.5</v>
      </c>
      <c r="H93" s="8">
        <v>13550679067800</v>
      </c>
      <c r="I93" s="8">
        <v>7403693580156.1104</v>
      </c>
      <c r="J93" s="8">
        <v>16814560405747.6</v>
      </c>
      <c r="K93" s="8">
        <v>8398273342830.7695</v>
      </c>
      <c r="L93" s="8">
        <v>2596830036590.1401</v>
      </c>
      <c r="M93" s="8">
        <v>1447622368998.47</v>
      </c>
    </row>
    <row r="94" spans="1:13" ht="16.8" thickBot="1" x14ac:dyDescent="0.4">
      <c r="A94" s="1">
        <v>44409</v>
      </c>
      <c r="B94" s="9">
        <f t="shared" si="9"/>
        <v>9.1046742313048365E-2</v>
      </c>
      <c r="C94" s="10">
        <f t="shared" si="13"/>
        <v>5208111752847.6133</v>
      </c>
      <c r="D94" s="6">
        <f t="shared" si="10"/>
        <v>57202615058322.766</v>
      </c>
      <c r="E94" s="6">
        <f t="shared" si="11"/>
        <v>35073553517234.461</v>
      </c>
      <c r="F94" s="8">
        <v>23431933690000</v>
      </c>
      <c r="G94" s="8">
        <v>14620743426317.9</v>
      </c>
      <c r="H94" s="8">
        <v>14031322881800</v>
      </c>
      <c r="I94" s="8">
        <v>9021454133157.4004</v>
      </c>
      <c r="J94" s="8">
        <v>17058390473286.4</v>
      </c>
      <c r="K94" s="8">
        <v>9712526679508.5898</v>
      </c>
      <c r="L94" s="8">
        <v>2680968013236.3701</v>
      </c>
      <c r="M94" s="8">
        <v>1718829278250.5701</v>
      </c>
    </row>
    <row r="95" spans="1:13" ht="16.8" thickBot="1" x14ac:dyDescent="0.4">
      <c r="A95" s="1">
        <v>44440</v>
      </c>
      <c r="B95" s="9">
        <f t="shared" si="9"/>
        <v>7.5996192674584059E-2</v>
      </c>
      <c r="C95" s="10">
        <f t="shared" si="13"/>
        <v>4358938399210.9219</v>
      </c>
      <c r="D95" s="6">
        <f t="shared" si="10"/>
        <v>57357326016000.695</v>
      </c>
      <c r="E95" s="6">
        <f t="shared" si="11"/>
        <v>39432491916445.383</v>
      </c>
      <c r="F95" s="8">
        <v>23432291623100</v>
      </c>
      <c r="G95" s="8">
        <v>16298888425662.301</v>
      </c>
      <c r="H95" s="8">
        <v>14045635045400</v>
      </c>
      <c r="I95" s="8">
        <v>10252828706611.801</v>
      </c>
      <c r="J95" s="8">
        <v>17189697770114.801</v>
      </c>
      <c r="K95" s="8">
        <v>10937107686397.6</v>
      </c>
      <c r="L95" s="8">
        <v>2689701577385.8999</v>
      </c>
      <c r="M95" s="8">
        <v>1943667097773.6799</v>
      </c>
    </row>
    <row r="96" spans="1:13" ht="16.8" thickBot="1" x14ac:dyDescent="0.4">
      <c r="A96" s="1">
        <v>44470</v>
      </c>
      <c r="B96" s="9">
        <f t="shared" si="9"/>
        <v>7.9068355380497252E-2</v>
      </c>
      <c r="C96" s="10">
        <f t="shared" si="13"/>
        <v>4679822055855.9375</v>
      </c>
      <c r="D96" s="6">
        <f t="shared" si="10"/>
        <v>59187041811296.445</v>
      </c>
      <c r="E96" s="6">
        <f t="shared" si="11"/>
        <v>44112313972301.32</v>
      </c>
      <c r="F96" s="8">
        <v>24921303270700</v>
      </c>
      <c r="G96" s="8">
        <v>18134659881632.398</v>
      </c>
      <c r="H96" s="8">
        <v>14185847366800</v>
      </c>
      <c r="I96" s="8">
        <v>11436164018703</v>
      </c>
      <c r="J96" s="8">
        <v>17380823593701.301</v>
      </c>
      <c r="K96" s="8">
        <v>12378586397718.301</v>
      </c>
      <c r="L96" s="8">
        <v>2699067580095.1499</v>
      </c>
      <c r="M96" s="8">
        <v>2162903674247.6201</v>
      </c>
    </row>
    <row r="97" spans="1:13" ht="16.8" thickBot="1" x14ac:dyDescent="0.4">
      <c r="A97" s="1">
        <v>44501</v>
      </c>
      <c r="B97" s="9">
        <f t="shared" si="9"/>
        <v>7.5846644170129748E-2</v>
      </c>
      <c r="C97" s="10">
        <f t="shared" si="13"/>
        <v>4511271951273.2422</v>
      </c>
      <c r="D97" s="6">
        <f t="shared" si="10"/>
        <v>59478860279620.523</v>
      </c>
      <c r="E97" s="6">
        <f t="shared" si="11"/>
        <v>48623585923574.562</v>
      </c>
      <c r="F97" s="8">
        <v>24926965297500</v>
      </c>
      <c r="G97" s="8">
        <v>19940931980915.199</v>
      </c>
      <c r="H97" s="8">
        <v>14200615723300</v>
      </c>
      <c r="I97" s="8">
        <v>12504473558553.301</v>
      </c>
      <c r="J97" s="8">
        <v>17594616566964.199</v>
      </c>
      <c r="K97" s="8">
        <v>13760988147933</v>
      </c>
      <c r="L97" s="8">
        <v>2756662691856.3198</v>
      </c>
      <c r="M97" s="8">
        <v>2417192236173.0601</v>
      </c>
    </row>
    <row r="98" spans="1:13" ht="16.8" thickBot="1" x14ac:dyDescent="0.4">
      <c r="A98" s="1">
        <v>44531</v>
      </c>
      <c r="B98" s="9">
        <f t="shared" si="9"/>
        <v>0.16269016325653413</v>
      </c>
      <c r="C98" s="10">
        <f t="shared" si="13"/>
        <v>9846771534780.3047</v>
      </c>
      <c r="D98" s="6">
        <f t="shared" si="10"/>
        <v>60524689001962.93</v>
      </c>
      <c r="E98" s="6">
        <f t="shared" si="11"/>
        <v>58470357458354.867</v>
      </c>
      <c r="F98" s="8">
        <v>25407375886600</v>
      </c>
      <c r="G98" s="8">
        <v>24761997677351.398</v>
      </c>
      <c r="H98" s="8">
        <v>14464997621000</v>
      </c>
      <c r="I98" s="8">
        <v>14011464650075.199</v>
      </c>
      <c r="J98" s="8">
        <v>17776763786639.301</v>
      </c>
      <c r="K98" s="8">
        <v>16885564719625.801</v>
      </c>
      <c r="L98" s="8">
        <v>2875551707723.6299</v>
      </c>
      <c r="M98" s="8">
        <v>2811330411302.48</v>
      </c>
    </row>
    <row r="99" spans="1:13" ht="16.8" thickBot="1" x14ac:dyDescent="0.4">
      <c r="A99" s="1">
        <v>44562</v>
      </c>
      <c r="B99" s="9">
        <f t="shared" si="9"/>
        <v>6.0123570694655307E-2</v>
      </c>
      <c r="C99" s="10">
        <f>E99</f>
        <v>3523455180606.4897</v>
      </c>
      <c r="D99" s="6">
        <f t="shared" si="10"/>
        <v>58603558303294.648</v>
      </c>
      <c r="E99" s="6">
        <f t="shared" si="11"/>
        <v>3523455180606.4897</v>
      </c>
      <c r="F99" s="8">
        <v>23990153072100</v>
      </c>
      <c r="G99" s="8">
        <v>1832665350220.49</v>
      </c>
      <c r="H99" s="8">
        <v>14067148029600</v>
      </c>
      <c r="I99" s="8">
        <v>800479297960.78003</v>
      </c>
      <c r="J99" s="8">
        <v>17867379242748.898</v>
      </c>
      <c r="K99" s="8">
        <v>742951320417.28003</v>
      </c>
      <c r="L99" s="8">
        <v>2678877958845.75</v>
      </c>
      <c r="M99" s="8">
        <v>147359212007.94</v>
      </c>
    </row>
    <row r="100" spans="1:13" ht="16.8" thickBot="1" x14ac:dyDescent="0.4">
      <c r="A100" s="1">
        <v>44593</v>
      </c>
      <c r="B100" s="9">
        <f t="shared" si="9"/>
        <v>7.5394250119116824E-2</v>
      </c>
      <c r="C100" s="10">
        <f>E100-E99</f>
        <v>4452750104386.6816</v>
      </c>
      <c r="D100" s="6">
        <f t="shared" si="10"/>
        <v>59059544956700.234</v>
      </c>
      <c r="E100" s="6">
        <f t="shared" si="11"/>
        <v>7976205284993.1709</v>
      </c>
      <c r="F100" s="8">
        <v>24122726346000</v>
      </c>
      <c r="G100" s="8">
        <v>3668183959140.27</v>
      </c>
      <c r="H100" s="8">
        <v>14069019745700</v>
      </c>
      <c r="I100" s="8">
        <v>2015078500446.3701</v>
      </c>
      <c r="J100" s="8">
        <v>18147519325670.199</v>
      </c>
      <c r="K100" s="8">
        <v>1921890330508.75</v>
      </c>
      <c r="L100" s="8">
        <v>2720279539330.0298</v>
      </c>
      <c r="M100" s="8">
        <v>371052494897.78003</v>
      </c>
    </row>
    <row r="101" spans="1:13" ht="16.8" thickBot="1" x14ac:dyDescent="0.4">
      <c r="A101" s="1">
        <v>44621</v>
      </c>
      <c r="B101" s="9">
        <f t="shared" si="9"/>
        <v>9.2485378902964863E-2</v>
      </c>
      <c r="C101" s="10">
        <f t="shared" ref="C101:C110" si="14">E101-E100</f>
        <v>5518738163254.5381</v>
      </c>
      <c r="D101" s="6">
        <f t="shared" si="10"/>
        <v>59671466222188.125</v>
      </c>
      <c r="E101" s="6">
        <f t="shared" si="11"/>
        <v>13494943448247.709</v>
      </c>
      <c r="F101" s="8">
        <v>24240804072000</v>
      </c>
      <c r="G101" s="8">
        <v>5859635178255.8496</v>
      </c>
      <c r="H101" s="8">
        <v>14077149874300</v>
      </c>
      <c r="I101" s="8">
        <v>3525841950138.7202</v>
      </c>
      <c r="J101" s="8">
        <v>18622557353253.102</v>
      </c>
      <c r="K101" s="8">
        <v>3410069863673.1099</v>
      </c>
      <c r="L101" s="8">
        <v>2730954922635.02</v>
      </c>
      <c r="M101" s="8">
        <v>699396456180.03003</v>
      </c>
    </row>
    <row r="102" spans="1:13" ht="16.8" thickBot="1" x14ac:dyDescent="0.4">
      <c r="A102" s="1">
        <v>44652</v>
      </c>
      <c r="B102" s="9">
        <f t="shared" si="9"/>
        <v>0.10414610231399568</v>
      </c>
      <c r="C102" s="10">
        <f t="shared" si="14"/>
        <v>6324208708959.9316</v>
      </c>
      <c r="D102" s="6">
        <f t="shared" si="10"/>
        <v>60724391680955.422</v>
      </c>
      <c r="E102" s="6">
        <f t="shared" si="11"/>
        <v>19819152157207.641</v>
      </c>
      <c r="F102" s="8">
        <v>24651876361300</v>
      </c>
      <c r="G102" s="8">
        <v>8869402706705.3301</v>
      </c>
      <c r="H102" s="8">
        <v>14446804980000</v>
      </c>
      <c r="I102" s="8">
        <v>4806489592764.8896</v>
      </c>
      <c r="J102" s="8">
        <v>18883477945431.5</v>
      </c>
      <c r="K102" s="8">
        <v>5158443767118.9199</v>
      </c>
      <c r="L102" s="8">
        <v>2742232394223.9199</v>
      </c>
      <c r="M102" s="8">
        <v>984816090618.5</v>
      </c>
    </row>
    <row r="103" spans="1:13" ht="16.8" thickBot="1" x14ac:dyDescent="0.4">
      <c r="A103" s="1">
        <v>44682</v>
      </c>
      <c r="B103" s="9">
        <f t="shared" si="9"/>
        <v>6.7917959755581125E-2</v>
      </c>
      <c r="C103" s="10">
        <f t="shared" si="14"/>
        <v>4195630663426.0937</v>
      </c>
      <c r="D103" s="6">
        <f t="shared" si="10"/>
        <v>61774980852267.43</v>
      </c>
      <c r="E103" s="6">
        <f t="shared" si="11"/>
        <v>24014782820633.734</v>
      </c>
      <c r="F103" s="8">
        <v>25444093391600</v>
      </c>
      <c r="G103" s="8">
        <v>10453652401007</v>
      </c>
      <c r="H103" s="8">
        <v>14457916112800</v>
      </c>
      <c r="I103" s="8">
        <v>5897690161015.8896</v>
      </c>
      <c r="J103" s="8">
        <v>19105082026925.398</v>
      </c>
      <c r="K103" s="8">
        <v>6472744325374.4902</v>
      </c>
      <c r="L103" s="8">
        <v>2767889320942.0298</v>
      </c>
      <c r="M103" s="8">
        <v>1190695933236.3501</v>
      </c>
    </row>
    <row r="104" spans="1:13" ht="16.8" thickBot="1" x14ac:dyDescent="0.4">
      <c r="A104" s="1">
        <v>44713</v>
      </c>
      <c r="B104" s="9">
        <f t="shared" si="9"/>
        <v>8.3404962587005332E-2</v>
      </c>
      <c r="C104" s="10">
        <f t="shared" si="14"/>
        <v>5222654723900.5547</v>
      </c>
      <c r="D104" s="6">
        <f t="shared" si="10"/>
        <v>62618033290914.219</v>
      </c>
      <c r="E104" s="6">
        <f t="shared" si="11"/>
        <v>29237437544534.289</v>
      </c>
      <c r="F104" s="8">
        <v>26006690481900</v>
      </c>
      <c r="G104" s="8">
        <v>12534796422744.199</v>
      </c>
      <c r="H104" s="8">
        <v>14484706025100</v>
      </c>
      <c r="I104" s="8">
        <v>7103507790355.7695</v>
      </c>
      <c r="J104" s="8">
        <v>19353969373773</v>
      </c>
      <c r="K104" s="8">
        <v>8208034663789.5596</v>
      </c>
      <c r="L104" s="8">
        <v>2772667410141.2202</v>
      </c>
      <c r="M104" s="8">
        <v>1391098667644.76</v>
      </c>
    </row>
    <row r="105" spans="1:13" ht="16.8" thickBot="1" x14ac:dyDescent="0.4">
      <c r="A105" s="1">
        <v>44743</v>
      </c>
      <c r="B105" s="9">
        <f t="shared" si="9"/>
        <v>8.9021270708338429E-2</v>
      </c>
      <c r="C105" s="10">
        <f t="shared" si="14"/>
        <v>5729350096342.8594</v>
      </c>
      <c r="D105" s="6">
        <f t="shared" si="10"/>
        <v>64359338512634.867</v>
      </c>
      <c r="E105" s="6">
        <f t="shared" si="11"/>
        <v>34966787640877.148</v>
      </c>
      <c r="F105" s="8">
        <v>27379405643100</v>
      </c>
      <c r="G105" s="8">
        <v>15216916609144.5</v>
      </c>
      <c r="H105" s="8">
        <v>14489669769600</v>
      </c>
      <c r="I105" s="8">
        <v>8345598800669.9004</v>
      </c>
      <c r="J105" s="8">
        <v>19713266422111.5</v>
      </c>
      <c r="K105" s="8">
        <v>9820252694895.5293</v>
      </c>
      <c r="L105" s="8">
        <v>2776996677823.3701</v>
      </c>
      <c r="M105" s="8">
        <v>1584019536167.22</v>
      </c>
    </row>
    <row r="106" spans="1:13" ht="16.8" thickBot="1" x14ac:dyDescent="0.4">
      <c r="A106" s="1">
        <v>44774</v>
      </c>
      <c r="B106" s="9">
        <f t="shared" si="9"/>
        <v>7.6450296248725721E-2</v>
      </c>
      <c r="C106" s="10">
        <f t="shared" si="14"/>
        <v>4948904344701.6406</v>
      </c>
      <c r="D106" s="6">
        <f t="shared" si="10"/>
        <v>64733618933283.453</v>
      </c>
      <c r="E106" s="6">
        <f t="shared" si="11"/>
        <v>39915691985578.789</v>
      </c>
      <c r="F106" s="8">
        <v>27614091040300</v>
      </c>
      <c r="G106" s="8">
        <v>17314701449271.699</v>
      </c>
      <c r="H106" s="8">
        <v>14507937517300</v>
      </c>
      <c r="I106" s="8">
        <v>9578985915615.0293</v>
      </c>
      <c r="J106" s="8">
        <v>19829183272146.602</v>
      </c>
      <c r="K106" s="8">
        <v>11242112397968.6</v>
      </c>
      <c r="L106" s="8">
        <v>2782407103536.8501</v>
      </c>
      <c r="M106" s="8">
        <v>1779892222723.46</v>
      </c>
    </row>
    <row r="107" spans="1:13" ht="16.8" thickBot="1" x14ac:dyDescent="0.4">
      <c r="A107" s="1">
        <v>44805</v>
      </c>
      <c r="B107" s="9">
        <f t="shared" si="9"/>
        <v>7.9563414773373073E-2</v>
      </c>
      <c r="C107" s="10">
        <f t="shared" si="14"/>
        <v>5202193825299.3984</v>
      </c>
      <c r="D107" s="6">
        <f t="shared" si="10"/>
        <v>65384245260428.164</v>
      </c>
      <c r="E107" s="6">
        <f t="shared" si="11"/>
        <v>45117885810878.187</v>
      </c>
      <c r="F107" s="8">
        <v>28047169089100</v>
      </c>
      <c r="G107" s="8">
        <v>19536585338654.398</v>
      </c>
      <c r="H107" s="8">
        <v>14524340772300</v>
      </c>
      <c r="I107" s="8">
        <v>10840356140061.699</v>
      </c>
      <c r="J107" s="8">
        <v>20027302885142.301</v>
      </c>
      <c r="K107" s="8">
        <v>12762735958171.699</v>
      </c>
      <c r="L107" s="8">
        <v>2785432513885.8701</v>
      </c>
      <c r="M107" s="8">
        <v>1978208373990.3899</v>
      </c>
    </row>
    <row r="108" spans="1:13" ht="16.8" thickBot="1" x14ac:dyDescent="0.4">
      <c r="A108" s="1">
        <v>44835</v>
      </c>
      <c r="B108" s="9">
        <f t="shared" si="9"/>
        <v>8.1156040454319123E-2</v>
      </c>
      <c r="C108" s="10">
        <f t="shared" si="14"/>
        <v>5360779485816.7266</v>
      </c>
      <c r="D108" s="6">
        <f t="shared" si="10"/>
        <v>66055212351496.945</v>
      </c>
      <c r="E108" s="6">
        <f t="shared" si="11"/>
        <v>50478665296694.914</v>
      </c>
      <c r="F108" s="8">
        <v>28454154728100</v>
      </c>
      <c r="G108" s="8">
        <v>21784784333110.301</v>
      </c>
      <c r="H108" s="8">
        <v>14546043103700</v>
      </c>
      <c r="I108" s="8">
        <v>12114787253700.801</v>
      </c>
      <c r="J108" s="8">
        <v>20261563358299.301</v>
      </c>
      <c r="K108" s="8">
        <v>14398993309023</v>
      </c>
      <c r="L108" s="8">
        <v>2793451161397.6499</v>
      </c>
      <c r="M108" s="8">
        <v>2180100400860.8101</v>
      </c>
    </row>
    <row r="109" spans="1:13" ht="16.8" thickBot="1" x14ac:dyDescent="0.4">
      <c r="A109" s="1">
        <v>44866</v>
      </c>
      <c r="B109" s="9">
        <f t="shared" si="9"/>
        <v>8.1688612139321298E-2</v>
      </c>
      <c r="C109" s="10">
        <f t="shared" si="14"/>
        <v>5493286704251.6328</v>
      </c>
      <c r="D109" s="6">
        <f t="shared" si="10"/>
        <v>67246664625452.812</v>
      </c>
      <c r="E109" s="6">
        <f t="shared" si="11"/>
        <v>55971952000946.547</v>
      </c>
      <c r="F109" s="8">
        <v>29059656791800</v>
      </c>
      <c r="G109" s="8">
        <v>24037064126782.801</v>
      </c>
      <c r="H109" s="8">
        <v>14845971693500</v>
      </c>
      <c r="I109" s="8">
        <v>13347687640347.5</v>
      </c>
      <c r="J109" s="8">
        <v>20544994332495.898</v>
      </c>
      <c r="K109" s="8">
        <v>16188658914436.6</v>
      </c>
      <c r="L109" s="8">
        <v>2796041807656.9102</v>
      </c>
      <c r="M109" s="8">
        <v>2398541319379.6499</v>
      </c>
    </row>
    <row r="110" spans="1:13" ht="16.8" thickBot="1" x14ac:dyDescent="0.4">
      <c r="A110" s="1">
        <v>44896</v>
      </c>
      <c r="B110" s="9">
        <f t="shared" si="9"/>
        <v>0.17871302227252514</v>
      </c>
      <c r="C110" s="10">
        <f t="shared" si="14"/>
        <v>12817191271773.68</v>
      </c>
      <c r="D110" s="6">
        <f t="shared" si="10"/>
        <v>71719403033922.953</v>
      </c>
      <c r="E110" s="6">
        <f t="shared" si="11"/>
        <v>68789143272720.227</v>
      </c>
      <c r="F110" s="8">
        <v>31914957821700</v>
      </c>
      <c r="G110" s="8">
        <v>31119027710826.801</v>
      </c>
      <c r="H110" s="8">
        <v>16277209309400</v>
      </c>
      <c r="I110" s="8">
        <v>15320813468666.4</v>
      </c>
      <c r="J110" s="8">
        <v>20719945344040.898</v>
      </c>
      <c r="K110" s="8">
        <v>19626326929965.102</v>
      </c>
      <c r="L110" s="8">
        <v>2807290558782.0498</v>
      </c>
      <c r="M110" s="8">
        <v>2722975163261.9199</v>
      </c>
    </row>
    <row r="111" spans="1:13" ht="16.8" thickBot="1" x14ac:dyDescent="0.4">
      <c r="A111" s="1">
        <v>44927</v>
      </c>
      <c r="B111" s="9">
        <f t="shared" si="9"/>
        <v>6.8768126300349341E-2</v>
      </c>
      <c r="C111" s="10">
        <f>E111</f>
        <v>4776386403213.9805</v>
      </c>
      <c r="D111" s="6">
        <f t="shared" si="10"/>
        <v>69456398773361.906</v>
      </c>
      <c r="E111" s="6">
        <f t="shared" si="11"/>
        <v>4776386403213.9805</v>
      </c>
      <c r="F111" s="8">
        <v>29423072076000</v>
      </c>
      <c r="G111" s="8">
        <v>3006330687062.25</v>
      </c>
      <c r="H111" s="8">
        <v>16787645231400</v>
      </c>
      <c r="I111" s="8">
        <v>652333984202.98999</v>
      </c>
      <c r="J111" s="8">
        <v>20269077048207.398</v>
      </c>
      <c r="K111" s="8">
        <v>977878574122.47998</v>
      </c>
      <c r="L111" s="8">
        <v>2976604417754.5098</v>
      </c>
      <c r="M111" s="8">
        <v>139843157826.26001</v>
      </c>
    </row>
    <row r="112" spans="1:13" ht="16.8" thickBot="1" x14ac:dyDescent="0.4">
      <c r="A112" s="1">
        <v>44958</v>
      </c>
      <c r="B112" s="9">
        <f t="shared" si="9"/>
        <v>7.9988471740537012E-2</v>
      </c>
      <c r="C112" s="10">
        <f>E112-E111</f>
        <v>5605645289228.1895</v>
      </c>
      <c r="D112" s="6">
        <f t="shared" si="10"/>
        <v>70080664966465.773</v>
      </c>
      <c r="E112" s="6">
        <f t="shared" si="11"/>
        <v>10382031692442.17</v>
      </c>
      <c r="F112" s="8">
        <v>29639999821100</v>
      </c>
      <c r="G112" s="8">
        <v>5543147104523.2998</v>
      </c>
      <c r="H112" s="8">
        <v>16926614944300</v>
      </c>
      <c r="I112" s="8">
        <v>1994927982139.1101</v>
      </c>
      <c r="J112" s="8">
        <v>20495929689554.801</v>
      </c>
      <c r="K112" s="8">
        <v>2470467746382.3398</v>
      </c>
      <c r="L112" s="8">
        <v>3018120511510.98</v>
      </c>
      <c r="M112" s="8">
        <v>373488859397.41998</v>
      </c>
    </row>
    <row r="113" spans="1:13" ht="16.8" thickBot="1" x14ac:dyDescent="0.4">
      <c r="A113" s="1">
        <v>44986</v>
      </c>
      <c r="B113" s="9">
        <f t="shared" si="9"/>
        <v>7.9187830976930634E-2</v>
      </c>
      <c r="C113" s="10">
        <f t="shared" ref="C113:C122" si="15">E113-E112</f>
        <v>5640122879585.0996</v>
      </c>
      <c r="D113" s="6">
        <f t="shared" si="10"/>
        <v>71224616333135.906</v>
      </c>
      <c r="E113" s="6">
        <f t="shared" si="11"/>
        <v>16022154572027.27</v>
      </c>
      <c r="F113" s="8">
        <v>29867577171000</v>
      </c>
      <c r="G113" s="8">
        <v>7764697841919.5703</v>
      </c>
      <c r="H113" s="8">
        <v>16926434036000</v>
      </c>
      <c r="I113" s="8">
        <v>3438724089082.5098</v>
      </c>
      <c r="J113" s="8">
        <v>21410134247196.602</v>
      </c>
      <c r="K113" s="8">
        <v>4211995689561.77</v>
      </c>
      <c r="L113" s="8">
        <v>3020470878939.2998</v>
      </c>
      <c r="M113" s="8">
        <v>606736951463.42004</v>
      </c>
    </row>
    <row r="114" spans="1:13" ht="16.8" thickBot="1" x14ac:dyDescent="0.4">
      <c r="A114" s="1">
        <v>45017</v>
      </c>
      <c r="B114" s="9">
        <f t="shared" si="9"/>
        <v>9.0072732359786467E-2</v>
      </c>
      <c r="C114" s="10">
        <f t="shared" si="15"/>
        <v>6395557052167.1523</v>
      </c>
      <c r="D114" s="6">
        <f t="shared" si="10"/>
        <v>71004363747074.344</v>
      </c>
      <c r="E114" s="6">
        <f t="shared" si="11"/>
        <v>22417711624194.422</v>
      </c>
      <c r="F114" s="8">
        <v>29890467081600</v>
      </c>
      <c r="G114" s="8">
        <v>10834517293635.301</v>
      </c>
      <c r="H114" s="8">
        <v>16940135522700</v>
      </c>
      <c r="I114" s="8">
        <v>4914128667238.96</v>
      </c>
      <c r="J114" s="8">
        <v>21151532569427.5</v>
      </c>
      <c r="K114" s="8">
        <v>5820752236780.0898</v>
      </c>
      <c r="L114" s="8">
        <v>3022228573346.8501</v>
      </c>
      <c r="M114" s="8">
        <v>848313426540.06995</v>
      </c>
    </row>
    <row r="115" spans="1:13" ht="16.8" thickBot="1" x14ac:dyDescent="0.4">
      <c r="A115" s="1">
        <v>45047</v>
      </c>
      <c r="B115" s="9">
        <f t="shared" si="9"/>
        <v>7.4961740919082934E-2</v>
      </c>
      <c r="C115" s="10">
        <f t="shared" si="15"/>
        <v>5343103127186.75</v>
      </c>
      <c r="D115" s="6">
        <f t="shared" si="10"/>
        <v>71277735304391.281</v>
      </c>
      <c r="E115" s="6">
        <f t="shared" si="11"/>
        <v>27760814751381.172</v>
      </c>
      <c r="F115" s="8">
        <v>29896299713600</v>
      </c>
      <c r="G115" s="8">
        <v>12848262874111.9</v>
      </c>
      <c r="H115" s="8">
        <v>16939970293000</v>
      </c>
      <c r="I115" s="8">
        <v>6302100864020.7803</v>
      </c>
      <c r="J115" s="8">
        <v>21419153000675.301</v>
      </c>
      <c r="K115" s="8">
        <v>7507364064460.7803</v>
      </c>
      <c r="L115" s="8">
        <v>3022312297115.98</v>
      </c>
      <c r="M115" s="8">
        <v>1103086948787.71</v>
      </c>
    </row>
    <row r="116" spans="1:13" ht="16.8" thickBot="1" x14ac:dyDescent="0.4">
      <c r="A116" s="1">
        <v>45078</v>
      </c>
      <c r="B116" s="9">
        <f t="shared" si="9"/>
        <v>7.7816272055573399E-2</v>
      </c>
      <c r="C116" s="10">
        <f t="shared" si="15"/>
        <v>5617660784688.5508</v>
      </c>
      <c r="D116" s="6">
        <f t="shared" si="10"/>
        <v>72191337830687.047</v>
      </c>
      <c r="E116" s="6">
        <f t="shared" si="11"/>
        <v>33378475536069.723</v>
      </c>
      <c r="F116" s="8">
        <v>29906020630500</v>
      </c>
      <c r="G116" s="8">
        <v>14731748426699.6</v>
      </c>
      <c r="H116" s="8">
        <v>16943834552500</v>
      </c>
      <c r="I116" s="8">
        <v>7714384370938</v>
      </c>
      <c r="J116" s="8">
        <v>22313195657803.699</v>
      </c>
      <c r="K116" s="8">
        <v>9578663024386.5</v>
      </c>
      <c r="L116" s="8">
        <v>3028286989883.3398</v>
      </c>
      <c r="M116" s="8">
        <v>1353679714045.6201</v>
      </c>
    </row>
    <row r="117" spans="1:13" ht="16.8" thickBot="1" x14ac:dyDescent="0.4">
      <c r="A117" s="1">
        <v>45108</v>
      </c>
      <c r="B117" s="9">
        <f t="shared" si="9"/>
        <v>7.7440059529534269E-2</v>
      </c>
      <c r="C117" s="10">
        <f t="shared" si="15"/>
        <v>5569461322961.3711</v>
      </c>
      <c r="D117" s="6">
        <f t="shared" si="10"/>
        <v>71919641549827.031</v>
      </c>
      <c r="E117" s="6">
        <f t="shared" si="11"/>
        <v>38947936859031.094</v>
      </c>
      <c r="F117" s="8">
        <v>29951176857800</v>
      </c>
      <c r="G117" s="8">
        <v>17113376737696.5</v>
      </c>
      <c r="H117" s="8">
        <v>16955858486200</v>
      </c>
      <c r="I117" s="8">
        <v>9152562091625.9805</v>
      </c>
      <c r="J117" s="8">
        <v>21981683646935.898</v>
      </c>
      <c r="K117" s="8">
        <v>11089270086480</v>
      </c>
      <c r="L117" s="8">
        <v>3030922558891.1401</v>
      </c>
      <c r="M117" s="8">
        <v>1592727943228.6101</v>
      </c>
    </row>
    <row r="118" spans="1:13" ht="16.8" thickBot="1" x14ac:dyDescent="0.4">
      <c r="A118" s="1">
        <v>45139</v>
      </c>
      <c r="B118" s="9">
        <f t="shared" si="9"/>
        <v>7.3087256638571546E-2</v>
      </c>
      <c r="C118" s="10">
        <f t="shared" si="15"/>
        <v>5279660535853.5625</v>
      </c>
      <c r="D118" s="6">
        <f t="shared" si="10"/>
        <v>72237771380069.016</v>
      </c>
      <c r="E118" s="6">
        <f t="shared" si="11"/>
        <v>44227597394884.656</v>
      </c>
      <c r="F118" s="8">
        <v>30265783705500</v>
      </c>
      <c r="G118" s="8">
        <v>19119721823567.801</v>
      </c>
      <c r="H118" s="8">
        <v>16853477980200</v>
      </c>
      <c r="I118" s="8">
        <v>10582246266112.699</v>
      </c>
      <c r="J118" s="8">
        <v>22084201664579.602</v>
      </c>
      <c r="K118" s="8">
        <v>12692804520152.301</v>
      </c>
      <c r="L118" s="8">
        <v>3034308029789.4102</v>
      </c>
      <c r="M118" s="8">
        <v>1832824785051.8601</v>
      </c>
    </row>
    <row r="119" spans="1:13" ht="16.8" thickBot="1" x14ac:dyDescent="0.4">
      <c r="A119" s="1">
        <v>45170</v>
      </c>
      <c r="B119" s="9">
        <f t="shared" si="9"/>
        <v>7.8871897036683944E-2</v>
      </c>
      <c r="C119" s="10">
        <f t="shared" si="15"/>
        <v>5773400934504.0547</v>
      </c>
      <c r="D119" s="6">
        <f t="shared" si="10"/>
        <v>73199721972184.844</v>
      </c>
      <c r="E119" s="6">
        <f t="shared" si="11"/>
        <v>50000998329388.711</v>
      </c>
      <c r="F119" s="8">
        <v>30332778848600</v>
      </c>
      <c r="G119" s="8">
        <v>21184597903786.199</v>
      </c>
      <c r="H119" s="8">
        <v>16876752504000</v>
      </c>
      <c r="I119" s="8">
        <v>12038825369685</v>
      </c>
      <c r="J119" s="8">
        <v>22955561442384.398</v>
      </c>
      <c r="K119" s="8">
        <v>14706697841379</v>
      </c>
      <c r="L119" s="8">
        <v>3034629177200.4399</v>
      </c>
      <c r="M119" s="8">
        <v>2070877214538.51</v>
      </c>
    </row>
    <row r="120" spans="1:13" ht="16.8" thickBot="1" x14ac:dyDescent="0.4">
      <c r="A120" s="1">
        <v>45200</v>
      </c>
      <c r="B120" s="9">
        <f t="shared" si="9"/>
        <v>8.0512246781033414E-2</v>
      </c>
      <c r="C120" s="10">
        <f t="shared" si="15"/>
        <v>6036909236772.1641</v>
      </c>
      <c r="D120" s="6">
        <f t="shared" si="10"/>
        <v>74981254133803.437</v>
      </c>
      <c r="E120" s="6">
        <f t="shared" si="11"/>
        <v>56037907566160.875</v>
      </c>
      <c r="F120" s="8">
        <v>32504963919700</v>
      </c>
      <c r="G120" s="8">
        <v>24157230342665.301</v>
      </c>
      <c r="H120" s="8">
        <v>16892163760400</v>
      </c>
      <c r="I120" s="8">
        <v>13538446719377.5</v>
      </c>
      <c r="J120" s="8">
        <v>22552737739094.699</v>
      </c>
      <c r="K120" s="8">
        <v>16031973405439</v>
      </c>
      <c r="L120" s="8">
        <v>3031388714608.7402</v>
      </c>
      <c r="M120" s="8">
        <v>2310257098679.0801</v>
      </c>
    </row>
    <row r="121" spans="1:13" ht="16.8" thickBot="1" x14ac:dyDescent="0.4">
      <c r="A121" s="1">
        <v>45231</v>
      </c>
      <c r="B121" s="9">
        <f t="shared" si="9"/>
        <v>8.0334431218297059E-2</v>
      </c>
      <c r="C121" s="10">
        <f t="shared" si="15"/>
        <v>6061138384257.5078</v>
      </c>
      <c r="D121" s="6">
        <f t="shared" si="10"/>
        <v>75448824275449.859</v>
      </c>
      <c r="E121" s="6">
        <f t="shared" si="11"/>
        <v>62099045950418.383</v>
      </c>
      <c r="F121" s="8">
        <v>32581759852600</v>
      </c>
      <c r="G121" s="8">
        <v>26711724040767.602</v>
      </c>
      <c r="H121" s="8">
        <v>17019410266100</v>
      </c>
      <c r="I121" s="8">
        <v>15000951231754.1</v>
      </c>
      <c r="J121" s="8">
        <v>22808434275898.199</v>
      </c>
      <c r="K121" s="8">
        <v>17813934625169.301</v>
      </c>
      <c r="L121" s="8">
        <v>3039219880851.6602</v>
      </c>
      <c r="M121" s="8">
        <v>2572436052727.3799</v>
      </c>
    </row>
    <row r="122" spans="1:13" ht="16.8" thickBot="1" x14ac:dyDescent="0.4">
      <c r="A122" s="1">
        <v>45261</v>
      </c>
      <c r="B122" s="9">
        <f t="shared" si="9"/>
        <v>0.16607281065064169</v>
      </c>
      <c r="C122" s="10">
        <f t="shared" si="15"/>
        <v>12808942845341.945</v>
      </c>
      <c r="D122" s="6">
        <f t="shared" si="10"/>
        <v>77128476330104.5</v>
      </c>
      <c r="E122" s="6">
        <f t="shared" si="11"/>
        <v>74907988795760.328</v>
      </c>
      <c r="F122" s="8">
        <v>32967517139200</v>
      </c>
      <c r="G122" s="8">
        <v>32353748561361.199</v>
      </c>
      <c r="H122" s="8">
        <v>17370933040000</v>
      </c>
      <c r="I122" s="8">
        <v>17044246770137.199</v>
      </c>
      <c r="J122" s="8">
        <v>23715443298776.199</v>
      </c>
      <c r="K122" s="8">
        <v>22525314408284.301</v>
      </c>
      <c r="L122" s="8">
        <v>3074582852128.29</v>
      </c>
      <c r="M122" s="8">
        <v>2984679055977.6201</v>
      </c>
    </row>
    <row r="123" spans="1:13" ht="16.8" thickBot="1" x14ac:dyDescent="0.4">
      <c r="A123" s="1">
        <v>45292</v>
      </c>
      <c r="B123" s="9">
        <f t="shared" si="9"/>
        <v>5.7342660144534346E-2</v>
      </c>
      <c r="C123" s="10">
        <f>E123</f>
        <v>4763002960354.9902</v>
      </c>
      <c r="D123" s="6">
        <f t="shared" si="10"/>
        <v>83062120737853.125</v>
      </c>
      <c r="E123" s="6">
        <f t="shared" si="11"/>
        <v>4763002960354.9902</v>
      </c>
      <c r="F123" s="8">
        <v>36956258056800</v>
      </c>
      <c r="G123" s="8">
        <v>2521290748457.7002</v>
      </c>
      <c r="H123" s="8">
        <v>20072675958000</v>
      </c>
      <c r="I123" s="8">
        <v>1061830660931.65</v>
      </c>
      <c r="J123" s="8">
        <v>22672631435363</v>
      </c>
      <c r="K123" s="8">
        <v>1011150053998.8</v>
      </c>
      <c r="L123" s="8">
        <v>3360555287690.1201</v>
      </c>
      <c r="M123" s="8">
        <v>168731496966.84</v>
      </c>
    </row>
    <row r="124" spans="1:13" ht="16.8" thickBot="1" x14ac:dyDescent="0.4">
      <c r="A124" s="1">
        <v>45323</v>
      </c>
      <c r="B124" s="9">
        <f t="shared" si="9"/>
        <v>8.5343777233465201E-2</v>
      </c>
      <c r="C124" s="10">
        <f>E124-E123</f>
        <v>7131204877431.3398</v>
      </c>
      <c r="D124" s="6">
        <f t="shared" si="10"/>
        <v>83558580468301.969</v>
      </c>
      <c r="E124" s="6">
        <f t="shared" si="11"/>
        <v>11894207837786.33</v>
      </c>
      <c r="F124" s="8">
        <v>37065340128200</v>
      </c>
      <c r="G124" s="8">
        <v>6158051686783.1299</v>
      </c>
      <c r="H124" s="8">
        <v>20100929304600</v>
      </c>
      <c r="I124" s="8">
        <v>2635545282289.8701</v>
      </c>
      <c r="J124" s="8">
        <v>22971093049443.102</v>
      </c>
      <c r="K124" s="8">
        <v>2671235046832.7798</v>
      </c>
      <c r="L124" s="8">
        <v>3421217986058.8799</v>
      </c>
      <c r="M124" s="8">
        <v>429375821880.54999</v>
      </c>
    </row>
    <row r="125" spans="1:13" ht="16.8" thickBot="1" x14ac:dyDescent="0.4">
      <c r="A125" s="1">
        <v>45352</v>
      </c>
      <c r="B125" s="9">
        <f t="shared" si="9"/>
        <v>7.7041151409159611E-2</v>
      </c>
      <c r="C125" s="10">
        <f t="shared" ref="C125:C134" si="16">E125-E124</f>
        <v>6530391315946.4824</v>
      </c>
      <c r="D125" s="6">
        <f t="shared" si="10"/>
        <v>84764975555259.781</v>
      </c>
      <c r="E125" s="6">
        <f t="shared" si="11"/>
        <v>18424599153732.812</v>
      </c>
      <c r="F125" s="8">
        <v>37256312118300</v>
      </c>
      <c r="G125" s="8">
        <v>9016978358410.3301</v>
      </c>
      <c r="H125" s="8">
        <v>20100999895500</v>
      </c>
      <c r="I125" s="8">
        <v>4228676936909.9102</v>
      </c>
      <c r="J125" s="8">
        <v>23948627801972.898</v>
      </c>
      <c r="K125" s="8">
        <v>4460983382031.79</v>
      </c>
      <c r="L125" s="8">
        <v>3459035739486.8701</v>
      </c>
      <c r="M125" s="8">
        <v>717960476380.78003</v>
      </c>
    </row>
    <row r="126" spans="1:13" ht="16.8" thickBot="1" x14ac:dyDescent="0.4">
      <c r="A126" s="1">
        <v>45383</v>
      </c>
      <c r="B126" s="9">
        <f t="shared" si="9"/>
        <v>9.0037308329422555E-2</v>
      </c>
      <c r="C126" s="10">
        <f t="shared" si="16"/>
        <v>7618391204335.5</v>
      </c>
      <c r="D126" s="6">
        <f t="shared" si="10"/>
        <v>84613715643984.312</v>
      </c>
      <c r="E126" s="6">
        <f t="shared" si="11"/>
        <v>26042990358068.312</v>
      </c>
      <c r="F126" s="8">
        <v>37330573427400</v>
      </c>
      <c r="G126" s="8">
        <v>12829536816734.5</v>
      </c>
      <c r="H126" s="8">
        <v>20104502324300</v>
      </c>
      <c r="I126" s="8">
        <v>5887791491311.6904</v>
      </c>
      <c r="J126" s="8">
        <v>23769866333795.301</v>
      </c>
      <c r="K126" s="8">
        <v>6350493773490.8701</v>
      </c>
      <c r="L126" s="8">
        <v>3408773558489.02</v>
      </c>
      <c r="M126" s="8">
        <v>975168276531.25</v>
      </c>
    </row>
    <row r="127" spans="1:13" ht="16.8" thickBot="1" x14ac:dyDescent="0.4">
      <c r="A127" s="1">
        <v>45413</v>
      </c>
      <c r="B127" s="9">
        <f t="shared" si="9"/>
        <v>7.052280380686006E-2</v>
      </c>
      <c r="C127" s="10">
        <f t="shared" si="16"/>
        <v>5982910402741.7852</v>
      </c>
      <c r="D127" s="6">
        <f t="shared" si="10"/>
        <v>84836536266015.578</v>
      </c>
      <c r="E127" s="6">
        <f t="shared" si="11"/>
        <v>32025900760810.098</v>
      </c>
      <c r="F127" s="8">
        <v>37333011549100</v>
      </c>
      <c r="G127" s="8">
        <v>15022491840756.801</v>
      </c>
      <c r="H127" s="8">
        <v>20112712111100</v>
      </c>
      <c r="I127" s="8">
        <v>7486248584784.29</v>
      </c>
      <c r="J127" s="8">
        <v>23978744527711.102</v>
      </c>
      <c r="K127" s="8">
        <v>8250495743349.5596</v>
      </c>
      <c r="L127" s="8">
        <v>3412068078104.48</v>
      </c>
      <c r="M127" s="8">
        <v>1266664591919.45</v>
      </c>
    </row>
    <row r="128" spans="1:13" ht="16.8" thickBot="1" x14ac:dyDescent="0.4">
      <c r="A128" s="1">
        <v>45444</v>
      </c>
      <c r="B128" s="9">
        <f t="shared" si="9"/>
        <v>7.6879180006008116E-2</v>
      </c>
      <c r="C128" s="10">
        <f t="shared" si="16"/>
        <v>6587577765411.668</v>
      </c>
      <c r="D128" s="6">
        <f t="shared" si="10"/>
        <v>85687409320661.953</v>
      </c>
      <c r="E128" s="6">
        <f t="shared" si="11"/>
        <v>38613478526221.766</v>
      </c>
      <c r="F128" s="8">
        <v>37346728765500</v>
      </c>
      <c r="G128" s="8">
        <v>17699885756669.199</v>
      </c>
      <c r="H128" s="8">
        <v>20189699442800</v>
      </c>
      <c r="I128" s="8">
        <v>9062437062161.2305</v>
      </c>
      <c r="J128" s="8">
        <v>24676486610851.801</v>
      </c>
      <c r="K128" s="8">
        <v>10276418660145.9</v>
      </c>
      <c r="L128" s="8">
        <v>3474494501510.1499</v>
      </c>
      <c r="M128" s="8">
        <v>1574737047245.4399</v>
      </c>
    </row>
    <row r="129" spans="1:13" ht="16.8" thickBot="1" x14ac:dyDescent="0.4">
      <c r="A129" s="1">
        <v>45474</v>
      </c>
      <c r="B129" s="9">
        <f t="shared" si="9"/>
        <v>7.8311112476526196E-2</v>
      </c>
      <c r="C129" s="10">
        <f t="shared" si="16"/>
        <v>6740454778281.3828</v>
      </c>
      <c r="D129" s="6">
        <f t="shared" si="10"/>
        <v>86072775179918.922</v>
      </c>
      <c r="E129" s="6">
        <f t="shared" si="11"/>
        <v>45353933304503.148</v>
      </c>
      <c r="F129" s="8">
        <v>37942510125900</v>
      </c>
      <c r="G129" s="8">
        <v>20851372773484.602</v>
      </c>
      <c r="H129" s="8">
        <v>20202311721400</v>
      </c>
      <c r="I129" s="8">
        <v>10699949325342.801</v>
      </c>
      <c r="J129" s="8">
        <v>24509041321783.801</v>
      </c>
      <c r="K129" s="8">
        <v>11987345525612.1</v>
      </c>
      <c r="L129" s="8">
        <v>3418912010835.1201</v>
      </c>
      <c r="M129" s="8">
        <v>1815265680063.6499</v>
      </c>
    </row>
    <row r="130" spans="1:13" ht="16.8" thickBot="1" x14ac:dyDescent="0.4">
      <c r="A130" s="1">
        <v>45505</v>
      </c>
      <c r="B130" s="9">
        <f t="shared" si="9"/>
        <v>6.8358568251853047E-2</v>
      </c>
      <c r="C130" s="10">
        <f t="shared" si="16"/>
        <v>5907520133150.1016</v>
      </c>
      <c r="D130" s="6">
        <f t="shared" si="10"/>
        <v>86419600120720.234</v>
      </c>
      <c r="E130" s="6">
        <f t="shared" si="11"/>
        <v>51261453437653.25</v>
      </c>
      <c r="F130" s="8">
        <v>38006159434300</v>
      </c>
      <c r="G130" s="8">
        <v>23063875823355.199</v>
      </c>
      <c r="H130" s="8">
        <v>20223798791000</v>
      </c>
      <c r="I130" s="8">
        <v>12306407738376.199</v>
      </c>
      <c r="J130" s="8">
        <v>24768566276094.199</v>
      </c>
      <c r="K130" s="8">
        <v>13799433077271.199</v>
      </c>
      <c r="L130" s="8">
        <v>3421075619326.0298</v>
      </c>
      <c r="M130" s="8">
        <v>2091736798650.6599</v>
      </c>
    </row>
    <row r="131" spans="1:13" ht="16.8" thickBot="1" x14ac:dyDescent="0.4">
      <c r="A131" s="1">
        <v>45536</v>
      </c>
      <c r="B131" s="9">
        <f t="shared" si="9"/>
        <v>7.7979962782986953E-2</v>
      </c>
      <c r="C131" s="10">
        <f t="shared" si="16"/>
        <v>6806354936893.25</v>
      </c>
      <c r="D131" s="6">
        <f t="shared" si="10"/>
        <v>87283382730444.266</v>
      </c>
      <c r="E131" s="6">
        <f t="shared" si="11"/>
        <v>58067808374546.5</v>
      </c>
      <c r="F131" s="8">
        <v>38057771192400</v>
      </c>
      <c r="G131" s="8">
        <v>25706275178781.5</v>
      </c>
      <c r="H131" s="8">
        <v>20214521002600</v>
      </c>
      <c r="I131" s="8">
        <v>14049910624479.1</v>
      </c>
      <c r="J131" s="8">
        <v>25525940741852.199</v>
      </c>
      <c r="K131" s="8">
        <v>15906891447932.5</v>
      </c>
      <c r="L131" s="8">
        <v>3485149793592.0601</v>
      </c>
      <c r="M131" s="8">
        <v>2404731123353.3999</v>
      </c>
    </row>
    <row r="132" spans="1:13" ht="16.8" thickBot="1" x14ac:dyDescent="0.4">
      <c r="A132" s="1">
        <v>45566</v>
      </c>
      <c r="B132" s="9">
        <f t="shared" ref="B132:B147" si="17">C132/D132</f>
        <v>8.9177031109468854E-2</v>
      </c>
      <c r="C132" s="10">
        <f t="shared" si="16"/>
        <v>7793806716341.5469</v>
      </c>
      <c r="D132" s="6">
        <f t="shared" ref="D132:D147" si="18">SUM(F132,H132,J132,L132)</f>
        <v>87397019382427.016</v>
      </c>
      <c r="E132" s="6">
        <f t="shared" ref="E132:E147" si="19">SUM(G132,I132,K132,M132)</f>
        <v>65861615090888.047</v>
      </c>
      <c r="F132" s="8">
        <v>38555840217400</v>
      </c>
      <c r="G132" s="8">
        <v>29554614270375.301</v>
      </c>
      <c r="H132" s="8">
        <v>20236881487200</v>
      </c>
      <c r="I132" s="8">
        <v>16045028153867.4</v>
      </c>
      <c r="J132" s="8">
        <v>25171975555763.699</v>
      </c>
      <c r="K132" s="8">
        <v>17626030942335.602</v>
      </c>
      <c r="L132" s="8">
        <v>3432322122063.3101</v>
      </c>
      <c r="M132" s="8">
        <v>2635941724309.7402</v>
      </c>
    </row>
    <row r="133" spans="1:13" ht="16.8" thickBot="1" x14ac:dyDescent="0.4">
      <c r="A133" s="1">
        <v>45597</v>
      </c>
      <c r="B133" s="9">
        <f t="shared" si="17"/>
        <v>8.0270874053172209E-2</v>
      </c>
      <c r="C133" s="10">
        <f t="shared" si="16"/>
        <v>7157362797465.7812</v>
      </c>
      <c r="D133" s="6">
        <f t="shared" si="18"/>
        <v>89165128471438.781</v>
      </c>
      <c r="E133" s="6">
        <f t="shared" si="19"/>
        <v>73018977888353.828</v>
      </c>
      <c r="F133" s="8">
        <v>40056381148600</v>
      </c>
      <c r="G133" s="8">
        <v>32639562829936.602</v>
      </c>
      <c r="H133" s="8">
        <v>20245085572900</v>
      </c>
      <c r="I133" s="8">
        <v>17778869856488.301</v>
      </c>
      <c r="J133" s="8">
        <v>25424685939413.898</v>
      </c>
      <c r="K133" s="8">
        <v>19659466267422.898</v>
      </c>
      <c r="L133" s="8">
        <v>3438975810524.8701</v>
      </c>
      <c r="M133" s="8">
        <v>2941078934506.02</v>
      </c>
    </row>
    <row r="134" spans="1:13" ht="16.8" thickBot="1" x14ac:dyDescent="0.4">
      <c r="A134" s="1">
        <v>45627</v>
      </c>
      <c r="B134" s="9">
        <f t="shared" si="17"/>
        <v>0.17193466532131893</v>
      </c>
      <c r="C134" s="10">
        <f t="shared" si="16"/>
        <v>15699648573874.562</v>
      </c>
      <c r="D134" s="6">
        <f t="shared" si="18"/>
        <v>91311711600068.437</v>
      </c>
      <c r="E134" s="6">
        <f t="shared" si="19"/>
        <v>88718626462228.391</v>
      </c>
      <c r="F134" s="8">
        <v>40578748641600</v>
      </c>
      <c r="G134" s="8">
        <v>40180829455516.602</v>
      </c>
      <c r="H134" s="8">
        <v>20849754915300</v>
      </c>
      <c r="I134" s="8">
        <v>20165237121286.5</v>
      </c>
      <c r="J134" s="8">
        <v>26331094304329</v>
      </c>
      <c r="K134" s="8">
        <v>24919142782852.301</v>
      </c>
      <c r="L134" s="8">
        <v>3552113738839.4399</v>
      </c>
      <c r="M134" s="8">
        <v>3453417102572.98</v>
      </c>
    </row>
    <row r="135" spans="1:13" ht="16.8" thickBot="1" x14ac:dyDescent="0.4">
      <c r="A135" s="1">
        <v>45658</v>
      </c>
      <c r="B135" s="9">
        <f t="shared" si="17"/>
        <v>7.2243802225561718E-2</v>
      </c>
      <c r="C135" s="10">
        <f>E135</f>
        <v>6750296454493.1904</v>
      </c>
      <c r="D135" s="6">
        <f t="shared" si="18"/>
        <v>93437724019801.969</v>
      </c>
      <c r="E135" s="6">
        <f t="shared" si="19"/>
        <v>6750296454493.1904</v>
      </c>
      <c r="F135" s="8">
        <v>41651951043400</v>
      </c>
      <c r="G135" s="8">
        <v>4138633551084.04</v>
      </c>
      <c r="H135" s="8">
        <v>21488142305200</v>
      </c>
      <c r="I135" s="8">
        <v>1203010411578.0701</v>
      </c>
      <c r="J135" s="8">
        <v>26328954442036.199</v>
      </c>
      <c r="K135" s="8">
        <v>1204617841032.6201</v>
      </c>
      <c r="L135" s="8">
        <v>3968676229165.7598</v>
      </c>
      <c r="M135" s="8">
        <v>204034650798.45999</v>
      </c>
    </row>
    <row r="136" spans="1:13" ht="16.8" thickBot="1" x14ac:dyDescent="0.4">
      <c r="A136" s="1">
        <v>45689</v>
      </c>
      <c r="B136" s="9">
        <f t="shared" si="17"/>
        <v>8.1476338520044017E-2</v>
      </c>
      <c r="C136" s="10">
        <f>E136-E135</f>
        <v>7656135268630.4893</v>
      </c>
      <c r="D136" s="6">
        <f t="shared" si="18"/>
        <v>93967591176756.203</v>
      </c>
      <c r="E136" s="6">
        <f t="shared" si="19"/>
        <v>14406431723123.68</v>
      </c>
      <c r="F136" s="8">
        <v>41850649204100</v>
      </c>
      <c r="G136" s="8">
        <v>7763573908471.3096</v>
      </c>
      <c r="H136" s="8">
        <v>21491667546500</v>
      </c>
      <c r="I136" s="8">
        <v>2976780219241.3799</v>
      </c>
      <c r="J136" s="8">
        <v>26609437707122.898</v>
      </c>
      <c r="K136" s="8">
        <v>3162227742244.48</v>
      </c>
      <c r="L136" s="8">
        <v>4015836719033.2998</v>
      </c>
      <c r="M136" s="8">
        <v>503849853166.51001</v>
      </c>
    </row>
    <row r="137" spans="1:13" ht="16.8" thickBot="1" x14ac:dyDescent="0.4">
      <c r="A137" s="1">
        <v>45717</v>
      </c>
      <c r="B137" s="9">
        <f t="shared" si="17"/>
        <v>7.8387946737700595E-2</v>
      </c>
      <c r="C137" s="10">
        <f t="shared" ref="C137:C140" si="20">E137-E136</f>
        <v>7404644029646.6328</v>
      </c>
      <c r="D137" s="6">
        <f t="shared" si="18"/>
        <v>94461512742817.859</v>
      </c>
      <c r="E137" s="6">
        <f t="shared" si="19"/>
        <v>21811075752770.312</v>
      </c>
      <c r="F137" s="8">
        <v>41895122576200</v>
      </c>
      <c r="G137" s="8">
        <v>11015032122673.9</v>
      </c>
      <c r="H137" s="8">
        <v>21515082927000</v>
      </c>
      <c r="I137" s="8">
        <v>4816941939949.1201</v>
      </c>
      <c r="J137" s="8">
        <v>27040759576219.102</v>
      </c>
      <c r="K137" s="8">
        <v>5153412686210.4404</v>
      </c>
      <c r="L137" s="8">
        <v>4010547663398.77</v>
      </c>
      <c r="M137" s="8">
        <v>825689003936.84998</v>
      </c>
    </row>
    <row r="138" spans="1:13" ht="16.8" thickBot="1" x14ac:dyDescent="0.4">
      <c r="A138" s="1">
        <v>45748</v>
      </c>
      <c r="B138" s="9">
        <f t="shared" si="17"/>
        <v>9.7584054469967499E-2</v>
      </c>
      <c r="C138" s="10">
        <f t="shared" si="20"/>
        <v>9252143507484.7266</v>
      </c>
      <c r="D138" s="6">
        <f t="shared" si="18"/>
        <v>94812042374527.172</v>
      </c>
      <c r="E138" s="6">
        <f t="shared" si="19"/>
        <v>31063219260255.039</v>
      </c>
      <c r="F138" s="8">
        <v>41897443950100</v>
      </c>
      <c r="G138" s="8">
        <v>15210253237719.699</v>
      </c>
      <c r="H138" s="8">
        <v>21515299989400</v>
      </c>
      <c r="I138" s="8">
        <v>7039913810204.5</v>
      </c>
      <c r="J138" s="8">
        <v>27384225927928.801</v>
      </c>
      <c r="K138" s="8">
        <v>7658791547543.75</v>
      </c>
      <c r="L138" s="8">
        <v>4015072507098.3799</v>
      </c>
      <c r="M138" s="8">
        <v>1154260664787.0901</v>
      </c>
    </row>
    <row r="139" spans="1:13" ht="16.8" thickBot="1" x14ac:dyDescent="0.4">
      <c r="A139" s="1">
        <v>45778</v>
      </c>
      <c r="B139" s="9">
        <f t="shared" si="17"/>
        <v>6.6134434420464197E-2</v>
      </c>
      <c r="C139" s="10">
        <f t="shared" si="20"/>
        <v>6290966379447.2344</v>
      </c>
      <c r="D139" s="6">
        <f t="shared" si="18"/>
        <v>95123915923300</v>
      </c>
      <c r="E139" s="6">
        <f t="shared" si="19"/>
        <v>37354185639702.273</v>
      </c>
      <c r="F139" s="8">
        <v>41900902951600</v>
      </c>
      <c r="G139" s="8">
        <v>17769495075491.898</v>
      </c>
      <c r="H139" s="8">
        <v>21522615726400</v>
      </c>
      <c r="I139" s="8">
        <v>8474064758132.5098</v>
      </c>
      <c r="J139" s="8">
        <v>27682713592243.398</v>
      </c>
      <c r="K139" s="8">
        <v>9612372268845.8008</v>
      </c>
      <c r="L139" s="8">
        <v>4017683653056.6001</v>
      </c>
      <c r="M139" s="8">
        <v>1498253537232.0701</v>
      </c>
    </row>
    <row r="140" spans="1:13" ht="16.8" thickBot="1" x14ac:dyDescent="0.4">
      <c r="A140" s="1">
        <v>45809</v>
      </c>
      <c r="B140" s="9">
        <f t="shared" si="17"/>
        <v>7.8868374513177547E-2</v>
      </c>
      <c r="C140" s="10">
        <f t="shared" si="20"/>
        <v>7590433156532.9922</v>
      </c>
      <c r="D140" s="6">
        <f t="shared" si="18"/>
        <v>96241785169095.391</v>
      </c>
      <c r="E140" s="6">
        <f t="shared" si="19"/>
        <v>44944618796235.266</v>
      </c>
      <c r="F140" s="8">
        <v>42873275397700</v>
      </c>
      <c r="G140" s="8">
        <v>20980872067377.898</v>
      </c>
      <c r="H140" s="8">
        <v>21523258172100</v>
      </c>
      <c r="I140" s="8">
        <v>10250318017061</v>
      </c>
      <c r="J140" s="8">
        <v>27829064349450.102</v>
      </c>
      <c r="K140" s="8">
        <v>11894185202733.4</v>
      </c>
      <c r="L140" s="8">
        <v>4016187249845.2998</v>
      </c>
      <c r="M140" s="8">
        <v>1819243509062.97</v>
      </c>
    </row>
    <row r="141" spans="1:13" ht="16.8" thickBot="1" x14ac:dyDescent="0.4">
      <c r="A141" s="1">
        <v>45839</v>
      </c>
      <c r="B141" s="9">
        <f t="shared" si="17"/>
        <v>8.8768035089126451E-2</v>
      </c>
      <c r="C141" s="10">
        <f>E141-E140</f>
        <v>8591455653164.0391</v>
      </c>
      <c r="D141" s="6">
        <f t="shared" si="18"/>
        <v>96785466125704.984</v>
      </c>
      <c r="E141" s="6">
        <f>SUM(G141,I141,K141,M141)</f>
        <v>53536074449399.305</v>
      </c>
      <c r="F141" s="8">
        <v>42917744536000</v>
      </c>
      <c r="G141" s="8">
        <v>24949170394998.801</v>
      </c>
      <c r="H141" s="8">
        <v>21621894304900</v>
      </c>
      <c r="I141" s="8">
        <v>12135903141105.4</v>
      </c>
      <c r="J141" s="8">
        <v>28225483326492.699</v>
      </c>
      <c r="K141" s="8">
        <v>14316473725046.6</v>
      </c>
      <c r="L141" s="8">
        <v>4020343958312.2798</v>
      </c>
      <c r="M141" s="8">
        <v>2134527188248.5</v>
      </c>
    </row>
    <row r="142" spans="1:13" ht="16.8" thickBot="1" x14ac:dyDescent="0.4">
      <c r="A142" s="1">
        <v>45870</v>
      </c>
      <c r="B142" s="9">
        <f t="shared" si="17"/>
        <v>6.9833064832853925E-2</v>
      </c>
      <c r="C142" s="10">
        <f t="shared" ref="C142:C145" si="21">E142-E141</f>
        <v>6773804683013.2656</v>
      </c>
      <c r="D142" s="6">
        <f t="shared" si="18"/>
        <v>96999962685676.594</v>
      </c>
      <c r="E142" s="6">
        <f t="shared" si="19"/>
        <v>60309879132412.57</v>
      </c>
      <c r="F142" s="8">
        <v>42962447026900</v>
      </c>
      <c r="G142" s="8">
        <v>27659818607722.102</v>
      </c>
      <c r="H142" s="8">
        <v>21625163465500</v>
      </c>
      <c r="I142" s="8">
        <v>13916087391561.9</v>
      </c>
      <c r="J142" s="8">
        <v>28391560384540</v>
      </c>
      <c r="K142" s="8">
        <v>16282754303103.4</v>
      </c>
      <c r="L142" s="8">
        <v>4020791808736.6001</v>
      </c>
      <c r="M142" s="8">
        <v>2451218830025.1699</v>
      </c>
    </row>
    <row r="143" spans="1:13" ht="16.8" thickBot="1" x14ac:dyDescent="0.4">
      <c r="A143" s="1">
        <v>45901</v>
      </c>
      <c r="B143" s="9">
        <f t="shared" si="17"/>
        <v>7.151867080301548E-2</v>
      </c>
      <c r="C143" s="10">
        <f t="shared" si="21"/>
        <v>6952846279569.5469</v>
      </c>
      <c r="D143" s="6">
        <f t="shared" si="18"/>
        <v>97217218965378.062</v>
      </c>
      <c r="E143" s="6">
        <f t="shared" si="19"/>
        <v>67262725411982.117</v>
      </c>
      <c r="F143" s="8">
        <v>42964555538800</v>
      </c>
      <c r="G143" s="8">
        <v>30424132062211.398</v>
      </c>
      <c r="H143" s="8">
        <v>21633870122700</v>
      </c>
      <c r="I143" s="8">
        <v>15713189049438.5</v>
      </c>
      <c r="J143" s="8">
        <v>28596846565342.102</v>
      </c>
      <c r="K143" s="8">
        <v>18362516457723.102</v>
      </c>
      <c r="L143" s="8">
        <v>4021946738535.9702</v>
      </c>
      <c r="M143" s="8">
        <v>2762887842609.1201</v>
      </c>
    </row>
    <row r="144" spans="1:13" ht="16.8" thickBot="1" x14ac:dyDescent="0.4">
      <c r="A144" s="1">
        <v>45931</v>
      </c>
      <c r="B144" s="9">
        <f t="shared" si="17"/>
        <v>8.2159133948359817E-2</v>
      </c>
      <c r="C144" s="10">
        <f t="shared" si="21"/>
        <v>8028840159940.0234</v>
      </c>
      <c r="D144" s="6">
        <f t="shared" si="18"/>
        <v>97723037891154.734</v>
      </c>
      <c r="E144" s="6">
        <f t="shared" si="19"/>
        <v>75291565571922.141</v>
      </c>
      <c r="F144" s="8">
        <v>42992507529400</v>
      </c>
      <c r="G144" s="8">
        <v>33881799545304.102</v>
      </c>
      <c r="H144" s="8">
        <v>21859811479300</v>
      </c>
      <c r="I144" s="8">
        <v>17586741067765.5</v>
      </c>
      <c r="J144" s="8">
        <v>28835482914038.602</v>
      </c>
      <c r="K144" s="8">
        <v>20735401409952.5</v>
      </c>
      <c r="L144" s="8">
        <v>4035235968416.1401</v>
      </c>
      <c r="M144" s="8">
        <v>3087623548900.0498</v>
      </c>
    </row>
    <row r="145" spans="1:13" ht="16.8" thickBot="1" x14ac:dyDescent="0.4">
      <c r="A145" s="1">
        <v>45962</v>
      </c>
      <c r="B145" s="9">
        <f t="shared" si="17"/>
        <v>7.6115829444051361E-2</v>
      </c>
      <c r="C145" s="10">
        <f t="shared" si="21"/>
        <v>7450931413834.2969</v>
      </c>
      <c r="D145" s="6">
        <f t="shared" si="18"/>
        <v>97889380806275.969</v>
      </c>
      <c r="E145" s="6">
        <f t="shared" si="19"/>
        <v>82742496985756.437</v>
      </c>
      <c r="F145" s="8">
        <v>43007834175100</v>
      </c>
      <c r="G145" s="8">
        <v>36955764061612.703</v>
      </c>
      <c r="H145" s="8">
        <v>21921179778400</v>
      </c>
      <c r="I145" s="8">
        <v>19349249659060.398</v>
      </c>
      <c r="J145" s="8">
        <v>28918354751429.199</v>
      </c>
      <c r="K145" s="8">
        <v>22998279367361</v>
      </c>
      <c r="L145" s="8">
        <v>4042012101346.7598</v>
      </c>
      <c r="M145" s="8">
        <v>3439203897722.3398</v>
      </c>
    </row>
    <row r="146" spans="1:13" ht="16.8" thickBot="1" x14ac:dyDescent="0.4">
      <c r="A146" s="1">
        <v>45992</v>
      </c>
      <c r="B146" s="9">
        <f t="shared" si="17"/>
        <v>0.13645132238333721</v>
      </c>
      <c r="C146" s="10">
        <f>E146-E145</f>
        <v>13442409002708.203</v>
      </c>
      <c r="D146" s="6">
        <f t="shared" si="18"/>
        <v>98514318277869.078</v>
      </c>
      <c r="E146" s="6">
        <f t="shared" si="19"/>
        <v>96184905988464.641</v>
      </c>
      <c r="F146" s="8">
        <v>43367142783700</v>
      </c>
      <c r="G146" s="8">
        <v>42909204451656</v>
      </c>
      <c r="H146" s="8">
        <v>22171600910100</v>
      </c>
      <c r="I146" s="8">
        <v>21963437768993.699</v>
      </c>
      <c r="J146" s="8">
        <v>28923970445017.102</v>
      </c>
      <c r="K146" s="8">
        <v>27397248058089</v>
      </c>
      <c r="L146" s="8">
        <v>4051604139051.98</v>
      </c>
      <c r="M146" s="8">
        <v>3915015709725.9302</v>
      </c>
    </row>
    <row r="147" spans="1:13" ht="16.2" x14ac:dyDescent="0.35">
      <c r="A147" s="1">
        <v>46023</v>
      </c>
      <c r="B147" s="9">
        <f t="shared" si="17"/>
        <v>6.5899804802802053E-2</v>
      </c>
      <c r="C147" s="6">
        <f>E147</f>
        <v>6654820783412.5898</v>
      </c>
      <c r="D147" s="6">
        <f t="shared" si="18"/>
        <v>100983922537045.62</v>
      </c>
      <c r="E147" s="6">
        <f t="shared" si="19"/>
        <v>6654820783412.5898</v>
      </c>
      <c r="F147" s="8">
        <v>44441279186100</v>
      </c>
      <c r="G147" s="8">
        <v>3993270936622.8398</v>
      </c>
      <c r="H147" s="8">
        <v>23596904071500</v>
      </c>
      <c r="I147" s="8">
        <v>1154446765196.6101</v>
      </c>
      <c r="J147" s="8">
        <v>28679324784314.801</v>
      </c>
      <c r="K147" s="8">
        <v>1291567596698.8301</v>
      </c>
      <c r="L147" s="8">
        <v>4266414495130.8301</v>
      </c>
      <c r="M147" s="8">
        <v>215535484894.31</v>
      </c>
    </row>
  </sheetData>
  <mergeCells count="5">
    <mergeCell ref="F1:G1"/>
    <mergeCell ref="H1:I1"/>
    <mergeCell ref="J1:K1"/>
    <mergeCell ref="L1:M1"/>
    <mergeCell ref="D1:E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6"/>
  <sheetViews>
    <sheetView topLeftCell="A130" workbookViewId="0">
      <selection activeCell="B148" sqref="B148"/>
    </sheetView>
  </sheetViews>
  <sheetFormatPr defaultRowHeight="14.4" x14ac:dyDescent="0.3"/>
  <cols>
    <col min="1" max="1" width="10.109375" bestFit="1" customWidth="1"/>
    <col min="2" max="2" width="20.77734375" customWidth="1"/>
    <col min="3" max="3" width="19.6640625" bestFit="1" customWidth="1"/>
    <col min="4" max="4" width="33.77734375" customWidth="1"/>
    <col min="5" max="5" width="19" bestFit="1" customWidth="1"/>
  </cols>
  <sheetData>
    <row r="1" spans="1:5" ht="47.4" thickBot="1" x14ac:dyDescent="0.35">
      <c r="A1" t="s">
        <v>10</v>
      </c>
      <c r="B1" s="7" t="s">
        <v>9</v>
      </c>
      <c r="C1" s="7" t="s">
        <v>8</v>
      </c>
      <c r="D1" s="2" t="s">
        <v>4</v>
      </c>
      <c r="E1" s="2" t="s">
        <v>5</v>
      </c>
    </row>
    <row r="2" spans="1:5" ht="16.8" thickBot="1" x14ac:dyDescent="0.4">
      <c r="A2" s="1">
        <v>41640</v>
      </c>
      <c r="B2" s="9">
        <v>4.455966420199349E-2</v>
      </c>
      <c r="C2" s="10">
        <v>1452808895239.28</v>
      </c>
      <c r="D2" s="6">
        <v>32603676918514.23</v>
      </c>
      <c r="E2" s="6">
        <v>1452808895239.28</v>
      </c>
    </row>
    <row r="3" spans="1:5" ht="16.8" thickBot="1" x14ac:dyDescent="0.4">
      <c r="A3" s="1">
        <v>41671</v>
      </c>
      <c r="B3" s="9">
        <v>8.7318170049497726E-2</v>
      </c>
      <c r="C3" s="10">
        <v>2855916288926.6201</v>
      </c>
      <c r="D3" s="6">
        <v>32707010319933.383</v>
      </c>
      <c r="E3" s="6">
        <v>4308725184165.8999</v>
      </c>
    </row>
    <row r="4" spans="1:5" ht="16.8" thickBot="1" x14ac:dyDescent="0.4">
      <c r="A4" s="1">
        <v>41699</v>
      </c>
      <c r="B4" s="9">
        <v>7.5680716935203618E-2</v>
      </c>
      <c r="C4" s="10">
        <v>2493370755431.5903</v>
      </c>
      <c r="D4" s="6">
        <v>32945918807380.836</v>
      </c>
      <c r="E4" s="6">
        <v>6802095939597.4902</v>
      </c>
    </row>
    <row r="5" spans="1:5" ht="16.8" thickBot="1" x14ac:dyDescent="0.4">
      <c r="A5" s="1">
        <v>41730</v>
      </c>
      <c r="B5" s="9">
        <v>8.7840193045120599E-2</v>
      </c>
      <c r="C5" s="10">
        <v>2924844680409.8613</v>
      </c>
      <c r="D5" s="6">
        <v>33297338940358.039</v>
      </c>
      <c r="E5" s="6">
        <v>9726940620007.3516</v>
      </c>
    </row>
    <row r="6" spans="1:5" ht="16.8" thickBot="1" x14ac:dyDescent="0.4">
      <c r="A6" s="1">
        <v>41760</v>
      </c>
      <c r="B6" s="9">
        <v>6.4943332025611464E-2</v>
      </c>
      <c r="C6" s="10">
        <v>2174666553888.6797</v>
      </c>
      <c r="D6" s="6">
        <v>33485601770957.246</v>
      </c>
      <c r="E6" s="6">
        <v>11901607173896.031</v>
      </c>
    </row>
    <row r="7" spans="1:5" ht="16.8" thickBot="1" x14ac:dyDescent="0.4">
      <c r="A7" s="1">
        <v>41791</v>
      </c>
      <c r="B7" s="9">
        <v>7.486436229124413E-2</v>
      </c>
      <c r="C7" s="10">
        <v>2516168151501.3691</v>
      </c>
      <c r="D7" s="6">
        <v>33609691908050.238</v>
      </c>
      <c r="E7" s="6">
        <v>14417775325397.4</v>
      </c>
    </row>
    <row r="8" spans="1:5" ht="16.8" thickBot="1" x14ac:dyDescent="0.4">
      <c r="A8" s="1">
        <v>41821</v>
      </c>
      <c r="B8" s="9">
        <v>7.9109253097964835E-2</v>
      </c>
      <c r="C8" s="10">
        <v>2667163008233.5605</v>
      </c>
      <c r="D8" s="6">
        <v>33714930981976.062</v>
      </c>
      <c r="E8" s="6">
        <v>17084938333630.961</v>
      </c>
    </row>
    <row r="9" spans="1:5" ht="16.8" thickBot="1" x14ac:dyDescent="0.4">
      <c r="A9" s="1">
        <v>41852</v>
      </c>
      <c r="B9" s="9">
        <v>7.0990945372778919E-2</v>
      </c>
      <c r="C9" s="10">
        <v>2398723873756.4297</v>
      </c>
      <c r="D9" s="6">
        <v>33789152421629.91</v>
      </c>
      <c r="E9" s="6">
        <v>19483662207387.391</v>
      </c>
    </row>
    <row r="10" spans="1:5" ht="16.8" thickBot="1" x14ac:dyDescent="0.4">
      <c r="A10" s="1">
        <v>41883</v>
      </c>
      <c r="B10" s="9">
        <v>7.5191642969707859E-2</v>
      </c>
      <c r="C10" s="10">
        <v>2547722724138.7734</v>
      </c>
      <c r="D10" s="6">
        <v>33883056992984.762</v>
      </c>
      <c r="E10" s="6">
        <v>22031384931526.164</v>
      </c>
    </row>
    <row r="11" spans="1:5" ht="16.8" thickBot="1" x14ac:dyDescent="0.4">
      <c r="A11" s="1">
        <v>41913</v>
      </c>
      <c r="B11" s="9">
        <v>8.5505353459643052E-2</v>
      </c>
      <c r="C11" s="10">
        <v>2901961405430.7656</v>
      </c>
      <c r="D11" s="6">
        <v>33938944031152.832</v>
      </c>
      <c r="E11" s="6">
        <v>24933346336956.93</v>
      </c>
    </row>
    <row r="12" spans="1:5" ht="16.8" thickBot="1" x14ac:dyDescent="0.4">
      <c r="A12" s="1">
        <v>41944</v>
      </c>
      <c r="B12" s="9">
        <v>7.015055606896374E-2</v>
      </c>
      <c r="C12" s="10">
        <v>2383569938670.1484</v>
      </c>
      <c r="D12" s="6">
        <v>33977919381378.871</v>
      </c>
      <c r="E12" s="6">
        <v>27316916275627.078</v>
      </c>
    </row>
    <row r="13" spans="1:5" ht="16.8" thickBot="1" x14ac:dyDescent="0.4">
      <c r="A13" s="1">
        <v>41974</v>
      </c>
      <c r="B13" s="9">
        <v>0.16937139917747276</v>
      </c>
      <c r="C13" s="10">
        <v>5932401498120.543</v>
      </c>
      <c r="D13" s="6">
        <v>35025993331402.918</v>
      </c>
      <c r="E13" s="6">
        <v>33249317773747.621</v>
      </c>
    </row>
    <row r="14" spans="1:5" ht="16.8" thickBot="1" x14ac:dyDescent="0.4">
      <c r="A14" s="1">
        <v>42005</v>
      </c>
      <c r="B14" s="9">
        <v>6.7308481627115085E-2</v>
      </c>
      <c r="C14" s="10">
        <v>2447081435343.3701</v>
      </c>
      <c r="D14" s="6">
        <v>36356212117516.68</v>
      </c>
      <c r="E14" s="6">
        <v>2447081435343.3701</v>
      </c>
    </row>
    <row r="15" spans="1:5" ht="16.8" thickBot="1" x14ac:dyDescent="0.4">
      <c r="A15" s="1">
        <v>42036</v>
      </c>
      <c r="B15" s="9">
        <v>7.9218046152364899E-2</v>
      </c>
      <c r="C15" s="10">
        <v>2885909717401.5098</v>
      </c>
      <c r="D15" s="6">
        <v>36429953243871.523</v>
      </c>
      <c r="E15" s="6">
        <v>5332991152744.8799</v>
      </c>
    </row>
    <row r="16" spans="1:5" ht="16.8" thickBot="1" x14ac:dyDescent="0.4">
      <c r="A16" s="1">
        <v>42064</v>
      </c>
      <c r="B16" s="9">
        <v>7.569905212068502E-2</v>
      </c>
      <c r="C16" s="10">
        <v>2779488709348.9297</v>
      </c>
      <c r="D16" s="6">
        <v>36717615762449.227</v>
      </c>
      <c r="E16" s="6">
        <v>8112479862093.8096</v>
      </c>
    </row>
    <row r="17" spans="1:5" ht="16.8" thickBot="1" x14ac:dyDescent="0.4">
      <c r="A17" s="1">
        <v>42095</v>
      </c>
      <c r="B17" s="9">
        <v>9.9435929331961576E-2</v>
      </c>
      <c r="C17" s="10">
        <v>3633684010619.7197</v>
      </c>
      <c r="D17" s="6">
        <v>36542968271447.016</v>
      </c>
      <c r="E17" s="6">
        <v>11746163872713.529</v>
      </c>
    </row>
    <row r="18" spans="1:5" ht="16.8" thickBot="1" x14ac:dyDescent="0.4">
      <c r="A18" s="1">
        <v>42125</v>
      </c>
      <c r="B18" s="9">
        <v>6.3413259412510664E-2</v>
      </c>
      <c r="C18" s="10">
        <v>2334857093067.6309</v>
      </c>
      <c r="D18" s="6">
        <v>36819698509409.719</v>
      </c>
      <c r="E18" s="6">
        <v>14081020965781.16</v>
      </c>
    </row>
    <row r="19" spans="1:5" ht="16.8" thickBot="1" x14ac:dyDescent="0.4">
      <c r="A19" s="1">
        <v>42156</v>
      </c>
      <c r="B19" s="9">
        <v>7.6707905535151888E-2</v>
      </c>
      <c r="C19" s="10">
        <v>2834589813444.4609</v>
      </c>
      <c r="D19" s="6">
        <v>36953033636741.547</v>
      </c>
      <c r="E19" s="6">
        <v>16915610779225.621</v>
      </c>
    </row>
    <row r="20" spans="1:5" ht="16.8" thickBot="1" x14ac:dyDescent="0.4">
      <c r="A20" s="1">
        <v>42186</v>
      </c>
      <c r="B20" s="9">
        <v>8.4243417369598644E-2</v>
      </c>
      <c r="C20" s="10">
        <v>3120073809589.5781</v>
      </c>
      <c r="D20" s="6">
        <v>37036410760747.883</v>
      </c>
      <c r="E20" s="6">
        <v>20035684588815.199</v>
      </c>
    </row>
    <row r="21" spans="1:5" ht="16.8" thickBot="1" x14ac:dyDescent="0.4">
      <c r="A21" s="1">
        <v>42217</v>
      </c>
      <c r="B21" s="9">
        <v>7.0458064891046238E-2</v>
      </c>
      <c r="C21" s="10">
        <v>2613769491650.875</v>
      </c>
      <c r="D21" s="6">
        <v>37096810644639.648</v>
      </c>
      <c r="E21" s="6">
        <v>22649454080466.074</v>
      </c>
    </row>
    <row r="22" spans="1:5" ht="16.8" thickBot="1" x14ac:dyDescent="0.4">
      <c r="A22" s="1">
        <v>42248</v>
      </c>
      <c r="B22" s="9">
        <v>6.87075732368677E-2</v>
      </c>
      <c r="C22" s="10">
        <v>2553986032160.3164</v>
      </c>
      <c r="D22" s="6">
        <v>37171827090377.812</v>
      </c>
      <c r="E22" s="6">
        <v>25203440112626.391</v>
      </c>
    </row>
    <row r="23" spans="1:5" ht="16.8" thickBot="1" x14ac:dyDescent="0.4">
      <c r="A23" s="1">
        <v>42278</v>
      </c>
      <c r="B23" s="9">
        <v>7.5784362901564956E-2</v>
      </c>
      <c r="C23" s="10">
        <v>2824039575607.293</v>
      </c>
      <c r="D23" s="6">
        <v>37264146157372.742</v>
      </c>
      <c r="E23" s="6">
        <v>28027479688233.684</v>
      </c>
    </row>
    <row r="24" spans="1:5" ht="16.8" thickBot="1" x14ac:dyDescent="0.4">
      <c r="A24" s="1">
        <v>42309</v>
      </c>
      <c r="B24" s="9">
        <v>7.0834342921987994E-2</v>
      </c>
      <c r="C24" s="10">
        <v>2661255834701.2148</v>
      </c>
      <c r="D24" s="6">
        <v>37570135119798.266</v>
      </c>
      <c r="E24" s="6">
        <v>30688735522934.898</v>
      </c>
    </row>
    <row r="25" spans="1:5" ht="16.8" thickBot="1" x14ac:dyDescent="0.4">
      <c r="A25" s="1">
        <v>42339</v>
      </c>
      <c r="B25" s="9">
        <v>0.14542702922387979</v>
      </c>
      <c r="C25" s="10">
        <v>5494857451528.3437</v>
      </c>
      <c r="D25" s="6">
        <v>37784292788304.187</v>
      </c>
      <c r="E25" s="6">
        <v>36183592974463.242</v>
      </c>
    </row>
    <row r="26" spans="1:5" ht="16.8" thickBot="1" x14ac:dyDescent="0.4">
      <c r="A26" s="1">
        <v>42370</v>
      </c>
      <c r="B26" s="9">
        <v>4.5102894272130517E-2</v>
      </c>
      <c r="C26" s="10">
        <v>1674872672706.8899</v>
      </c>
      <c r="D26" s="6">
        <v>37134483268445.344</v>
      </c>
      <c r="E26" s="6">
        <v>1674872672706.8899</v>
      </c>
    </row>
    <row r="27" spans="1:5" ht="16.8" thickBot="1" x14ac:dyDescent="0.4">
      <c r="A27" s="1">
        <v>42401</v>
      </c>
      <c r="B27" s="9">
        <v>7.5476699104046918E-2</v>
      </c>
      <c r="C27" s="10">
        <v>2810642618042.7402</v>
      </c>
      <c r="D27" s="6">
        <v>37238547146427.062</v>
      </c>
      <c r="E27" s="6">
        <v>4485515290749.6299</v>
      </c>
    </row>
    <row r="28" spans="1:5" ht="16.8" thickBot="1" x14ac:dyDescent="0.4">
      <c r="A28" s="1">
        <v>42430</v>
      </c>
      <c r="B28" s="9">
        <v>9.4514353441502205E-2</v>
      </c>
      <c r="C28" s="10">
        <v>3541161805021.5889</v>
      </c>
      <c r="D28" s="6">
        <v>37466920907556.344</v>
      </c>
      <c r="E28" s="6">
        <v>8026677095771.2187</v>
      </c>
    </row>
    <row r="29" spans="1:5" ht="16.8" thickBot="1" x14ac:dyDescent="0.4">
      <c r="A29" s="1">
        <v>42461</v>
      </c>
      <c r="B29" s="9">
        <v>8.9249124192946755E-2</v>
      </c>
      <c r="C29" s="10">
        <v>3363111052687.5605</v>
      </c>
      <c r="D29" s="6">
        <v>37682286331649.437</v>
      </c>
      <c r="E29" s="6">
        <v>11389788148458.779</v>
      </c>
    </row>
    <row r="30" spans="1:5" ht="16.8" thickBot="1" x14ac:dyDescent="0.4">
      <c r="A30" s="1">
        <v>42491</v>
      </c>
      <c r="B30" s="9">
        <v>6.8815823620138078E-2</v>
      </c>
      <c r="C30" s="10">
        <v>2608444530970.3008</v>
      </c>
      <c r="D30" s="6">
        <v>37904720073814.133</v>
      </c>
      <c r="E30" s="6">
        <v>13998232679429.08</v>
      </c>
    </row>
    <row r="31" spans="1:5" ht="16.8" thickBot="1" x14ac:dyDescent="0.4">
      <c r="A31" s="1">
        <v>42522</v>
      </c>
      <c r="B31" s="9">
        <v>7.9644534649893281E-2</v>
      </c>
      <c r="C31" s="10">
        <v>3034426495565.5078</v>
      </c>
      <c r="D31" s="6">
        <v>38099619878557.148</v>
      </c>
      <c r="E31" s="6">
        <v>17032659174994.588</v>
      </c>
    </row>
    <row r="32" spans="1:5" ht="16.8" thickBot="1" x14ac:dyDescent="0.4">
      <c r="A32" s="1">
        <v>42552</v>
      </c>
      <c r="B32" s="9">
        <v>7.2922086652311521E-2</v>
      </c>
      <c r="C32" s="10">
        <v>2786218866898.502</v>
      </c>
      <c r="D32" s="6">
        <v>38208161543470.906</v>
      </c>
      <c r="E32" s="6">
        <v>19818878041893.09</v>
      </c>
    </row>
    <row r="33" spans="1:5" ht="16.8" thickBot="1" x14ac:dyDescent="0.4">
      <c r="A33" s="1">
        <v>42583</v>
      </c>
      <c r="B33" s="9">
        <v>7.5233423631754406E-2</v>
      </c>
      <c r="C33" s="10">
        <v>2887938189341.082</v>
      </c>
      <c r="D33" s="6">
        <v>38386372039596.312</v>
      </c>
      <c r="E33" s="6">
        <v>22706816231234.172</v>
      </c>
    </row>
    <row r="34" spans="1:5" ht="16.8" thickBot="1" x14ac:dyDescent="0.4">
      <c r="A34" s="1">
        <v>42614</v>
      </c>
      <c r="B34" s="9">
        <v>7.6221359983037792E-2</v>
      </c>
      <c r="C34" s="10">
        <v>2932328694406.2461</v>
      </c>
      <c r="D34" s="6">
        <v>38471219813695.305</v>
      </c>
      <c r="E34" s="6">
        <v>25639144925640.418</v>
      </c>
    </row>
    <row r="35" spans="1:5" ht="16.8" thickBot="1" x14ac:dyDescent="0.4">
      <c r="A35" s="1">
        <v>42644</v>
      </c>
      <c r="B35" s="9">
        <v>7.4471984938858871E-2</v>
      </c>
      <c r="C35" s="10">
        <v>2870491510236.1328</v>
      </c>
      <c r="D35" s="6">
        <v>38544581732215.031</v>
      </c>
      <c r="E35" s="6">
        <v>28509636435876.551</v>
      </c>
    </row>
    <row r="36" spans="1:5" ht="16.8" thickBot="1" x14ac:dyDescent="0.4">
      <c r="A36" s="1">
        <v>42675</v>
      </c>
      <c r="B36" s="9">
        <v>7.7474411879997124E-2</v>
      </c>
      <c r="C36" s="10">
        <v>3020797872971.9687</v>
      </c>
      <c r="D36" s="6">
        <v>38990910671913.07</v>
      </c>
      <c r="E36" s="6">
        <v>31530434308848.52</v>
      </c>
    </row>
    <row r="37" spans="1:5" ht="16.8" thickBot="1" x14ac:dyDescent="0.4">
      <c r="A37" s="1">
        <v>42705</v>
      </c>
      <c r="B37" s="9">
        <v>0.15641049509014004</v>
      </c>
      <c r="C37" s="10">
        <v>6097625439857.3945</v>
      </c>
      <c r="D37" s="6">
        <v>38984758895771.711</v>
      </c>
      <c r="E37" s="6">
        <v>37628059748705.914</v>
      </c>
    </row>
    <row r="38" spans="1:5" ht="16.8" thickBot="1" x14ac:dyDescent="0.4">
      <c r="A38" s="1">
        <v>42736</v>
      </c>
      <c r="B38" s="9">
        <v>6.5213786491388634E-2</v>
      </c>
      <c r="C38" s="10">
        <v>2548036804399.2803</v>
      </c>
      <c r="D38" s="6">
        <v>39072057328487.5</v>
      </c>
      <c r="E38" s="6">
        <v>2548036804399.2803</v>
      </c>
    </row>
    <row r="39" spans="1:5" ht="16.8" thickBot="1" x14ac:dyDescent="0.4">
      <c r="A39" s="1">
        <v>42767</v>
      </c>
      <c r="B39" s="9">
        <v>7.0010286595203627E-2</v>
      </c>
      <c r="C39" s="10">
        <v>2758284210988.2803</v>
      </c>
      <c r="D39" s="6">
        <v>39398270527537.719</v>
      </c>
      <c r="E39" s="6">
        <v>5306321015387.5605</v>
      </c>
    </row>
    <row r="40" spans="1:5" ht="16.8" thickBot="1" x14ac:dyDescent="0.4">
      <c r="A40" s="1">
        <v>42795</v>
      </c>
      <c r="B40" s="9">
        <v>8.7740425904915376E-2</v>
      </c>
      <c r="C40" s="10">
        <v>3488515388403.8887</v>
      </c>
      <c r="D40" s="6">
        <v>39759499141073.305</v>
      </c>
      <c r="E40" s="6">
        <v>8794836403791.4492</v>
      </c>
    </row>
    <row r="41" spans="1:5" ht="16.8" thickBot="1" x14ac:dyDescent="0.4">
      <c r="A41" s="1">
        <v>42826</v>
      </c>
      <c r="B41" s="9">
        <v>8.0831877976049862E-2</v>
      </c>
      <c r="C41" s="10">
        <v>3229251332713.5605</v>
      </c>
      <c r="D41" s="6">
        <v>39950220303806.055</v>
      </c>
      <c r="E41" s="6">
        <v>12024087736505.01</v>
      </c>
    </row>
    <row r="42" spans="1:5" ht="16.8" thickBot="1" x14ac:dyDescent="0.4">
      <c r="A42" s="1">
        <v>42856</v>
      </c>
      <c r="B42" s="9">
        <v>7.140272906247902E-2</v>
      </c>
      <c r="C42" s="10">
        <v>2862990975834.5</v>
      </c>
      <c r="D42" s="6">
        <v>40096380256408.93</v>
      </c>
      <c r="E42" s="6">
        <v>14887078712339.51</v>
      </c>
    </row>
    <row r="43" spans="1:5" ht="16.8" thickBot="1" x14ac:dyDescent="0.4">
      <c r="A43" s="1">
        <v>42887</v>
      </c>
      <c r="B43" s="9">
        <v>7.7591925180026278E-2</v>
      </c>
      <c r="C43" s="10">
        <v>3123182914928.0605</v>
      </c>
      <c r="D43" s="6">
        <v>40251390949274.07</v>
      </c>
      <c r="E43" s="6">
        <v>18010261627267.57</v>
      </c>
    </row>
    <row r="44" spans="1:5" ht="16.8" thickBot="1" x14ac:dyDescent="0.4">
      <c r="A44" s="1">
        <v>42917</v>
      </c>
      <c r="B44" s="9">
        <v>7.319335854030623E-2</v>
      </c>
      <c r="C44" s="10">
        <v>2981049809794.4102</v>
      </c>
      <c r="D44" s="6">
        <v>40728419480201.898</v>
      </c>
      <c r="E44" s="6">
        <v>20991311437061.98</v>
      </c>
    </row>
    <row r="45" spans="1:5" ht="16.8" thickBot="1" x14ac:dyDescent="0.4">
      <c r="A45" s="1">
        <v>42948</v>
      </c>
      <c r="B45" s="9">
        <v>7.3283719354462915E-2</v>
      </c>
      <c r="C45" s="10">
        <v>2986417566961.2695</v>
      </c>
      <c r="D45" s="6">
        <v>40751446477714.828</v>
      </c>
      <c r="E45" s="6">
        <v>23977729004023.25</v>
      </c>
    </row>
    <row r="46" spans="1:5" ht="16.8" thickBot="1" x14ac:dyDescent="0.4">
      <c r="A46" s="1">
        <v>42979</v>
      </c>
      <c r="B46" s="9">
        <v>7.4234531073113827E-2</v>
      </c>
      <c r="C46" s="10">
        <v>3028227531439.207</v>
      </c>
      <c r="D46" s="6">
        <v>40792707755595.523</v>
      </c>
      <c r="E46" s="6">
        <v>27005956535462.457</v>
      </c>
    </row>
    <row r="47" spans="1:5" ht="16.8" thickBot="1" x14ac:dyDescent="0.4">
      <c r="A47" s="1">
        <v>43009</v>
      </c>
      <c r="B47" s="9">
        <v>7.7241316547473807E-2</v>
      </c>
      <c r="C47" s="10">
        <v>3166479398422.168</v>
      </c>
      <c r="D47" s="6">
        <v>40994632664967.547</v>
      </c>
      <c r="E47" s="6">
        <v>30172435933884.625</v>
      </c>
    </row>
    <row r="48" spans="1:5" ht="16.8" thickBot="1" x14ac:dyDescent="0.4">
      <c r="A48" s="1">
        <v>43040</v>
      </c>
      <c r="B48" s="9">
        <v>7.9594415245820963E-2</v>
      </c>
      <c r="C48" s="10">
        <v>3276367817656.8203</v>
      </c>
      <c r="D48" s="6">
        <v>41163287744975.844</v>
      </c>
      <c r="E48" s="6">
        <v>33448803751541.445</v>
      </c>
    </row>
    <row r="49" spans="1:5" ht="16.8" thickBot="1" x14ac:dyDescent="0.4">
      <c r="A49" s="1">
        <v>43070</v>
      </c>
      <c r="B49" s="9">
        <v>0.13978617922590339</v>
      </c>
      <c r="C49" s="10">
        <v>5756568839572.25</v>
      </c>
      <c r="D49" s="6">
        <v>41181244608376.25</v>
      </c>
      <c r="E49" s="6">
        <v>39205372591113.695</v>
      </c>
    </row>
    <row r="50" spans="1:5" ht="16.8" thickBot="1" x14ac:dyDescent="0.4">
      <c r="A50" s="1">
        <v>43101</v>
      </c>
      <c r="B50" s="9">
        <v>5.6407514622649244E-2</v>
      </c>
      <c r="C50" s="10">
        <v>2330374601127.5801</v>
      </c>
      <c r="D50" s="6">
        <v>41313194114598.828</v>
      </c>
      <c r="E50" s="6">
        <v>2330374601127.5801</v>
      </c>
    </row>
    <row r="51" spans="1:5" ht="16.8" thickBot="1" x14ac:dyDescent="0.4">
      <c r="A51" s="1">
        <v>43132</v>
      </c>
      <c r="B51" s="9">
        <v>7.0195115779144182E-2</v>
      </c>
      <c r="C51" s="10">
        <v>2926830443249.2598</v>
      </c>
      <c r="D51" s="6">
        <v>41695642364320.406</v>
      </c>
      <c r="E51" s="6">
        <v>5257205044376.8398</v>
      </c>
    </row>
    <row r="52" spans="1:5" ht="16.8" thickBot="1" x14ac:dyDescent="0.4">
      <c r="A52" s="1">
        <v>43160</v>
      </c>
      <c r="B52" s="9">
        <v>8.3449873953928236E-2</v>
      </c>
      <c r="C52" s="10">
        <v>3499180452026.4609</v>
      </c>
      <c r="D52" s="6">
        <v>41931524713366.5</v>
      </c>
      <c r="E52" s="6">
        <v>8756385496403.3008</v>
      </c>
    </row>
    <row r="53" spans="1:5" ht="16.8" thickBot="1" x14ac:dyDescent="0.4">
      <c r="A53" s="1">
        <v>43191</v>
      </c>
      <c r="B53" s="9">
        <v>8.6163229955786333E-2</v>
      </c>
      <c r="C53" s="10">
        <v>3628156461152.5996</v>
      </c>
      <c r="D53" s="6">
        <v>42107943992052.602</v>
      </c>
      <c r="E53" s="6">
        <v>12384541957555.9</v>
      </c>
    </row>
    <row r="54" spans="1:5" ht="16.8" thickBot="1" x14ac:dyDescent="0.4">
      <c r="A54" s="1">
        <v>43221</v>
      </c>
      <c r="B54" s="9">
        <v>7.1745398493539239E-2</v>
      </c>
      <c r="C54" s="10">
        <v>3035122679626.9883</v>
      </c>
      <c r="D54" s="6">
        <v>42304074454340.156</v>
      </c>
      <c r="E54" s="6">
        <v>15419664637182.889</v>
      </c>
    </row>
    <row r="55" spans="1:5" ht="16.8" thickBot="1" x14ac:dyDescent="0.4">
      <c r="A55" s="1">
        <v>43252</v>
      </c>
      <c r="B55" s="9">
        <v>7.9304241856382088E-2</v>
      </c>
      <c r="C55" s="10">
        <v>3364158715441.0957</v>
      </c>
      <c r="D55" s="6">
        <v>42420917679706.203</v>
      </c>
      <c r="E55" s="6">
        <v>18783823352623.984</v>
      </c>
    </row>
    <row r="56" spans="1:5" ht="16.8" thickBot="1" x14ac:dyDescent="0.4">
      <c r="A56" s="1">
        <v>43282</v>
      </c>
      <c r="B56" s="9">
        <v>7.8605261869730797E-2</v>
      </c>
      <c r="C56" s="10">
        <v>3353295043642.2031</v>
      </c>
      <c r="D56" s="6">
        <v>42659930949654.211</v>
      </c>
      <c r="E56" s="6">
        <v>22137118396266.187</v>
      </c>
    </row>
    <row r="57" spans="1:5" ht="16.8" thickBot="1" x14ac:dyDescent="0.4">
      <c r="A57" s="1">
        <v>43313</v>
      </c>
      <c r="B57" s="9">
        <v>7.2354333512687094E-2</v>
      </c>
      <c r="C57" s="10">
        <v>3088841839205.8711</v>
      </c>
      <c r="D57" s="6">
        <v>42690488451037.32</v>
      </c>
      <c r="E57" s="6">
        <v>25225960235472.059</v>
      </c>
    </row>
    <row r="58" spans="1:5" ht="16.8" thickBot="1" x14ac:dyDescent="0.4">
      <c r="A58" s="1">
        <v>43344</v>
      </c>
      <c r="B58" s="9">
        <v>7.1394362151297311E-2</v>
      </c>
      <c r="C58" s="10">
        <v>3053541107357.4531</v>
      </c>
      <c r="D58" s="6">
        <v>42770059362481.008</v>
      </c>
      <c r="E58" s="6">
        <v>28279501342829.512</v>
      </c>
    </row>
    <row r="59" spans="1:5" ht="16.8" thickBot="1" x14ac:dyDescent="0.4">
      <c r="A59" s="1">
        <v>43374</v>
      </c>
      <c r="B59" s="9">
        <v>7.9153121714094568E-2</v>
      </c>
      <c r="C59" s="10">
        <v>3396853509510.7773</v>
      </c>
      <c r="D59" s="6">
        <v>42914965777097.195</v>
      </c>
      <c r="E59" s="6">
        <v>31676354852340.289</v>
      </c>
    </row>
    <row r="60" spans="1:5" ht="16.8" thickBot="1" x14ac:dyDescent="0.4">
      <c r="A60" s="1">
        <v>43405</v>
      </c>
      <c r="B60" s="9">
        <v>7.8046236354924359E-2</v>
      </c>
      <c r="C60" s="10">
        <v>3373280446982.9023</v>
      </c>
      <c r="D60" s="6">
        <v>43221564607452.898</v>
      </c>
      <c r="E60" s="6">
        <v>35049635299323.191</v>
      </c>
    </row>
    <row r="61" spans="1:5" ht="16.8" thickBot="1" x14ac:dyDescent="0.4">
      <c r="A61" s="1">
        <v>43435</v>
      </c>
      <c r="B61" s="9">
        <v>0.14617618648683828</v>
      </c>
      <c r="C61" s="10">
        <v>6325973719213.9492</v>
      </c>
      <c r="D61" s="6">
        <v>43276363074251.773</v>
      </c>
      <c r="E61" s="6">
        <v>41375609018537.141</v>
      </c>
    </row>
    <row r="62" spans="1:5" ht="16.8" thickBot="1" x14ac:dyDescent="0.4">
      <c r="A62" s="1">
        <v>43466</v>
      </c>
      <c r="B62" s="9">
        <v>5.3976626427885019E-2</v>
      </c>
      <c r="C62" s="10">
        <v>2424221190875.9199</v>
      </c>
      <c r="D62" s="6">
        <v>44912425086713.758</v>
      </c>
      <c r="E62" s="6">
        <v>2424221190875.9199</v>
      </c>
    </row>
    <row r="63" spans="1:5" ht="16.8" thickBot="1" x14ac:dyDescent="0.4">
      <c r="A63" s="1">
        <v>43497</v>
      </c>
      <c r="B63" s="9">
        <v>7.2400490429240169E-2</v>
      </c>
      <c r="C63" s="10">
        <v>3289467666248.4199</v>
      </c>
      <c r="D63" s="6">
        <v>45434328507254.312</v>
      </c>
      <c r="E63" s="6">
        <v>5713688857124.3398</v>
      </c>
    </row>
    <row r="64" spans="1:5" ht="16.8" thickBot="1" x14ac:dyDescent="0.4">
      <c r="A64" s="1">
        <v>43525</v>
      </c>
      <c r="B64" s="9">
        <v>7.6546318627117887E-2</v>
      </c>
      <c r="C64" s="10">
        <v>3526864330788.8711</v>
      </c>
      <c r="D64" s="6">
        <v>46074904633485.758</v>
      </c>
      <c r="E64" s="6">
        <v>9240553187913.2109</v>
      </c>
    </row>
    <row r="65" spans="1:5" ht="16.8" thickBot="1" x14ac:dyDescent="0.4">
      <c r="A65" s="1">
        <v>43556</v>
      </c>
      <c r="B65" s="9">
        <v>8.767150958502469E-2</v>
      </c>
      <c r="C65" s="10">
        <v>4056743029774.25</v>
      </c>
      <c r="D65" s="6">
        <v>46272079139232.578</v>
      </c>
      <c r="E65" s="6">
        <v>13297296217687.461</v>
      </c>
    </row>
    <row r="66" spans="1:5" ht="16.8" thickBot="1" x14ac:dyDescent="0.4">
      <c r="A66" s="1">
        <v>43586</v>
      </c>
      <c r="B66" s="9">
        <v>6.2355825719220055E-2</v>
      </c>
      <c r="C66" s="10">
        <v>2894679737982.8887</v>
      </c>
      <c r="D66" s="6">
        <v>46421961454207.094</v>
      </c>
      <c r="E66" s="6">
        <v>16191975955670.35</v>
      </c>
    </row>
    <row r="67" spans="1:5" ht="16.8" thickBot="1" x14ac:dyDescent="0.4">
      <c r="A67" s="1">
        <v>43617</v>
      </c>
      <c r="B67" s="9">
        <v>7.476900908643469E-2</v>
      </c>
      <c r="C67" s="10">
        <v>3478627064916.5137</v>
      </c>
      <c r="D67" s="6">
        <v>46524985517664.695</v>
      </c>
      <c r="E67" s="6">
        <v>19670603020586.863</v>
      </c>
    </row>
    <row r="68" spans="1:5" ht="16.8" thickBot="1" x14ac:dyDescent="0.4">
      <c r="A68" s="1">
        <v>43647</v>
      </c>
      <c r="B68" s="9">
        <v>7.9193454948139633E-2</v>
      </c>
      <c r="C68" s="10">
        <v>3720981322215.5937</v>
      </c>
      <c r="D68" s="6">
        <v>46985970300857.609</v>
      </c>
      <c r="E68" s="6">
        <v>23391584342802.457</v>
      </c>
    </row>
    <row r="69" spans="1:5" ht="16.8" thickBot="1" x14ac:dyDescent="0.4">
      <c r="A69" s="1">
        <v>43678</v>
      </c>
      <c r="B69" s="9">
        <v>7.1450607781841216E-2</v>
      </c>
      <c r="C69" s="10">
        <v>3360651815314.5898</v>
      </c>
      <c r="D69" s="6">
        <v>47034614814972.664</v>
      </c>
      <c r="E69" s="6">
        <v>26752236158117.047</v>
      </c>
    </row>
    <row r="70" spans="1:5" ht="16.8" thickBot="1" x14ac:dyDescent="0.4">
      <c r="A70" s="1">
        <v>43709</v>
      </c>
      <c r="B70" s="9">
        <v>7.8265885346615646E-2</v>
      </c>
      <c r="C70" s="10">
        <v>3689489117938.4648</v>
      </c>
      <c r="D70" s="6">
        <v>47140450805594.891</v>
      </c>
      <c r="E70" s="6">
        <v>30441725276055.512</v>
      </c>
    </row>
    <row r="71" spans="1:5" ht="16.8" thickBot="1" x14ac:dyDescent="0.4">
      <c r="A71" s="1">
        <v>43739</v>
      </c>
      <c r="B71" s="9">
        <v>8.0963255749509924E-2</v>
      </c>
      <c r="C71" s="10">
        <v>3828950163256.6016</v>
      </c>
      <c r="D71" s="6">
        <v>47292443069518.961</v>
      </c>
      <c r="E71" s="6">
        <v>34270675439312.113</v>
      </c>
    </row>
    <row r="72" spans="1:5" ht="16.8" thickBot="1" x14ac:dyDescent="0.4">
      <c r="A72" s="1">
        <v>43770</v>
      </c>
      <c r="B72" s="9">
        <v>7.8367729197036357E-2</v>
      </c>
      <c r="C72" s="10">
        <v>3712846679281.5195</v>
      </c>
      <c r="D72" s="6">
        <v>47377239551582.273</v>
      </c>
      <c r="E72" s="6">
        <v>37983522118593.633</v>
      </c>
    </row>
    <row r="73" spans="1:5" ht="16.8" thickBot="1" x14ac:dyDescent="0.4">
      <c r="A73" s="1">
        <v>43800</v>
      </c>
      <c r="B73" s="9">
        <v>0.15211768193004896</v>
      </c>
      <c r="C73" s="10">
        <v>7244071323321.6172</v>
      </c>
      <c r="D73" s="6">
        <v>47621494302370.391</v>
      </c>
      <c r="E73" s="6">
        <v>45227593441915.25</v>
      </c>
    </row>
    <row r="74" spans="1:5" ht="16.8" thickBot="1" x14ac:dyDescent="0.4">
      <c r="A74" s="1">
        <v>43831</v>
      </c>
      <c r="B74" s="9">
        <v>6.226341166202172E-2</v>
      </c>
      <c r="C74" s="10">
        <v>3081755006343.2695</v>
      </c>
      <c r="D74" s="6">
        <v>49495440806739.812</v>
      </c>
      <c r="E74" s="6">
        <v>3081755006343.2695</v>
      </c>
    </row>
    <row r="75" spans="1:5" ht="16.8" thickBot="1" x14ac:dyDescent="0.4">
      <c r="A75" s="1">
        <v>43862</v>
      </c>
      <c r="B75" s="9">
        <v>6.9662425802943961E-2</v>
      </c>
      <c r="C75" s="10">
        <v>3481045383272.9199</v>
      </c>
      <c r="D75" s="6">
        <v>49970200479665.32</v>
      </c>
      <c r="E75" s="6">
        <v>6562800389616.1895</v>
      </c>
    </row>
    <row r="76" spans="1:5" ht="16.8" thickBot="1" x14ac:dyDescent="0.4">
      <c r="A76" s="1">
        <v>43891</v>
      </c>
      <c r="B76" s="9">
        <v>8.4101128889670224E-2</v>
      </c>
      <c r="C76" s="10">
        <v>4284046296964.832</v>
      </c>
      <c r="D76" s="6">
        <v>50939224639718.516</v>
      </c>
      <c r="E76" s="6">
        <v>10846846686581.021</v>
      </c>
    </row>
    <row r="77" spans="1:5" ht="16.8" thickBot="1" x14ac:dyDescent="0.4">
      <c r="A77" s="1">
        <v>43922</v>
      </c>
      <c r="B77" s="9">
        <v>9.1361743168674403E-2</v>
      </c>
      <c r="C77" s="10">
        <v>4785979411202.0508</v>
      </c>
      <c r="D77" s="6">
        <v>52384939748424.594</v>
      </c>
      <c r="E77" s="6">
        <v>15632826097783.072</v>
      </c>
    </row>
    <row r="78" spans="1:5" ht="16.8" thickBot="1" x14ac:dyDescent="0.4">
      <c r="A78" s="1">
        <v>43952</v>
      </c>
      <c r="B78" s="9">
        <v>6.5239645228519369E-2</v>
      </c>
      <c r="C78" s="10">
        <v>3447076441944.166</v>
      </c>
      <c r="D78" s="6">
        <v>52837142658729.297</v>
      </c>
      <c r="E78" s="6">
        <v>19079902539727.238</v>
      </c>
    </row>
    <row r="79" spans="1:5" ht="16.8" thickBot="1" x14ac:dyDescent="0.4">
      <c r="A79" s="1">
        <v>43983</v>
      </c>
      <c r="B79" s="9">
        <v>8.9554766170601693E-2</v>
      </c>
      <c r="C79" s="10">
        <v>4768676690284.7227</v>
      </c>
      <c r="D79" s="6">
        <v>53248720243436.297</v>
      </c>
      <c r="E79" s="6">
        <v>23848579230011.961</v>
      </c>
    </row>
    <row r="80" spans="1:5" ht="16.8" thickBot="1" x14ac:dyDescent="0.4">
      <c r="A80" s="1">
        <v>44013</v>
      </c>
      <c r="B80" s="9">
        <v>8.332830643090218E-2</v>
      </c>
      <c r="C80" s="10">
        <v>4451483705756.3086</v>
      </c>
      <c r="D80" s="6">
        <v>53421026976560.305</v>
      </c>
      <c r="E80" s="6">
        <v>28300062935768.27</v>
      </c>
    </row>
    <row r="81" spans="1:5" ht="16.8" thickBot="1" x14ac:dyDescent="0.4">
      <c r="A81" s="1">
        <v>44044</v>
      </c>
      <c r="B81" s="9">
        <v>6.8631240956743403E-2</v>
      </c>
      <c r="C81" s="10">
        <v>3800678732572.0586</v>
      </c>
      <c r="D81" s="6">
        <v>55378260389718.633</v>
      </c>
      <c r="E81" s="6">
        <v>32100741668340.328</v>
      </c>
    </row>
    <row r="82" spans="1:5" ht="16.8" thickBot="1" x14ac:dyDescent="0.4">
      <c r="A82" s="1">
        <v>44075</v>
      </c>
      <c r="B82" s="9">
        <v>7.3460884777581392E-2</v>
      </c>
      <c r="C82" s="10">
        <v>4086839150708.9219</v>
      </c>
      <c r="D82" s="6">
        <v>55632860441072.898</v>
      </c>
      <c r="E82" s="6">
        <v>36187580819049.25</v>
      </c>
    </row>
    <row r="83" spans="1:5" ht="16.8" thickBot="1" x14ac:dyDescent="0.4">
      <c r="A83" s="1">
        <v>44105</v>
      </c>
      <c r="B83" s="9">
        <v>8.2305584032677334E-2</v>
      </c>
      <c r="C83" s="10">
        <v>4590034999471.3203</v>
      </c>
      <c r="D83" s="6">
        <v>55768208845331.367</v>
      </c>
      <c r="E83" s="6">
        <v>40777615818520.57</v>
      </c>
    </row>
    <row r="84" spans="1:5" ht="16.8" thickBot="1" x14ac:dyDescent="0.4">
      <c r="A84" s="1">
        <v>44136</v>
      </c>
      <c r="B84" s="9">
        <v>8.2421735045198549E-2</v>
      </c>
      <c r="C84" s="10">
        <v>4611869647634.2187</v>
      </c>
      <c r="D84" s="6">
        <v>55954532443476.891</v>
      </c>
      <c r="E84" s="6">
        <v>45389485466154.789</v>
      </c>
    </row>
    <row r="85" spans="1:5" ht="16.8" thickBot="1" x14ac:dyDescent="0.4">
      <c r="A85" s="1">
        <v>44166</v>
      </c>
      <c r="B85" s="9">
        <v>0.14721271531485253</v>
      </c>
      <c r="C85" s="10">
        <v>8282199354034.4609</v>
      </c>
      <c r="D85" s="6">
        <v>56260081449627.719</v>
      </c>
      <c r="E85" s="6">
        <v>53671684820189.25</v>
      </c>
    </row>
    <row r="86" spans="1:5" ht="16.8" thickBot="1" x14ac:dyDescent="0.4">
      <c r="A86" s="1">
        <v>44197</v>
      </c>
      <c r="B86" s="9">
        <v>6.2331817510241354E-2</v>
      </c>
      <c r="C86" s="10">
        <v>3297723134317.5098</v>
      </c>
      <c r="D86" s="6">
        <v>52905935781123.039</v>
      </c>
      <c r="E86" s="6">
        <v>3297723134317.5098</v>
      </c>
    </row>
    <row r="87" spans="1:5" ht="16.8" thickBot="1" x14ac:dyDescent="0.4">
      <c r="A87" s="1">
        <v>44228</v>
      </c>
      <c r="B87" s="9">
        <v>7.7621129437836597E-2</v>
      </c>
      <c r="C87" s="10">
        <v>4140954776377.6104</v>
      </c>
      <c r="D87" s="6">
        <v>53348293259426.508</v>
      </c>
      <c r="E87" s="6">
        <v>7438677910695.1201</v>
      </c>
    </row>
    <row r="88" spans="1:5" ht="16.8" thickBot="1" x14ac:dyDescent="0.4">
      <c r="A88" s="1">
        <v>44256</v>
      </c>
      <c r="B88" s="9">
        <v>8.0485931921195991E-2</v>
      </c>
      <c r="C88" s="10">
        <v>4341036228829.1807</v>
      </c>
      <c r="D88" s="6">
        <v>53935341558565.812</v>
      </c>
      <c r="E88" s="6">
        <v>11779714139524.301</v>
      </c>
    </row>
    <row r="89" spans="1:5" ht="16.8" thickBot="1" x14ac:dyDescent="0.4">
      <c r="A89" s="1">
        <v>44287</v>
      </c>
      <c r="B89" s="9">
        <v>9.9905982406166993E-2</v>
      </c>
      <c r="C89" s="10">
        <v>5436166487427.209</v>
      </c>
      <c r="D89" s="6">
        <v>54412822500723.898</v>
      </c>
      <c r="E89" s="6">
        <v>17215880626951.51</v>
      </c>
    </row>
    <row r="90" spans="1:5" ht="16.8" thickBot="1" x14ac:dyDescent="0.4">
      <c r="A90" s="1">
        <v>44317</v>
      </c>
      <c r="B90" s="9">
        <v>6.6417756540477726E-2</v>
      </c>
      <c r="C90" s="10">
        <v>3628872606629.2402</v>
      </c>
      <c r="D90" s="6">
        <v>54637084955100.156</v>
      </c>
      <c r="E90" s="6">
        <v>20844753233580.75</v>
      </c>
    </row>
    <row r="91" spans="1:5" ht="16.8" thickBot="1" x14ac:dyDescent="0.4">
      <c r="A91" s="1">
        <v>44348</v>
      </c>
      <c r="B91" s="9">
        <v>7.6848419347335412E-2</v>
      </c>
      <c r="C91" s="10">
        <v>4227682560314.1797</v>
      </c>
      <c r="D91" s="6">
        <v>55013266326352.453</v>
      </c>
      <c r="E91" s="6">
        <v>25072435793894.93</v>
      </c>
    </row>
    <row r="92" spans="1:5" ht="16.8" thickBot="1" x14ac:dyDescent="0.4">
      <c r="A92" s="1">
        <v>44378</v>
      </c>
      <c r="B92" s="9">
        <v>8.5000545071801908E-2</v>
      </c>
      <c r="C92" s="10">
        <v>4793005970491.918</v>
      </c>
      <c r="D92" s="6">
        <v>56387943941337.742</v>
      </c>
      <c r="E92" s="6">
        <v>29865441764386.848</v>
      </c>
    </row>
    <row r="93" spans="1:5" ht="16.8" thickBot="1" x14ac:dyDescent="0.4">
      <c r="A93" s="1">
        <v>44409</v>
      </c>
      <c r="B93" s="9">
        <v>9.1046742313048365E-2</v>
      </c>
      <c r="C93" s="10">
        <v>5208111752847.6133</v>
      </c>
      <c r="D93" s="6">
        <v>57202615058322.766</v>
      </c>
      <c r="E93" s="6">
        <v>35073553517234.461</v>
      </c>
    </row>
    <row r="94" spans="1:5" ht="16.8" thickBot="1" x14ac:dyDescent="0.4">
      <c r="A94" s="1">
        <v>44440</v>
      </c>
      <c r="B94" s="9">
        <v>7.5996192674584059E-2</v>
      </c>
      <c r="C94" s="10">
        <v>4358938399210.9219</v>
      </c>
      <c r="D94" s="6">
        <v>57357326016000.695</v>
      </c>
      <c r="E94" s="6">
        <v>39432491916445.383</v>
      </c>
    </row>
    <row r="95" spans="1:5" ht="16.8" thickBot="1" x14ac:dyDescent="0.4">
      <c r="A95" s="1">
        <v>44470</v>
      </c>
      <c r="B95" s="9">
        <v>7.9068355380497252E-2</v>
      </c>
      <c r="C95" s="10">
        <v>4679822055855.9375</v>
      </c>
      <c r="D95" s="6">
        <v>59187041811296.445</v>
      </c>
      <c r="E95" s="6">
        <v>44112313972301.32</v>
      </c>
    </row>
    <row r="96" spans="1:5" ht="16.8" thickBot="1" x14ac:dyDescent="0.4">
      <c r="A96" s="1">
        <v>44501</v>
      </c>
      <c r="B96" s="9">
        <v>7.5846644170129748E-2</v>
      </c>
      <c r="C96" s="10">
        <v>4511271951273.2422</v>
      </c>
      <c r="D96" s="6">
        <v>59478860279620.523</v>
      </c>
      <c r="E96" s="6">
        <v>48623585923574.562</v>
      </c>
    </row>
    <row r="97" spans="1:5" ht="16.8" thickBot="1" x14ac:dyDescent="0.4">
      <c r="A97" s="1">
        <v>44531</v>
      </c>
      <c r="B97" s="9">
        <v>0.16269016325653413</v>
      </c>
      <c r="C97" s="10">
        <v>9846771534780.3047</v>
      </c>
      <c r="D97" s="6">
        <v>60524689001962.93</v>
      </c>
      <c r="E97" s="6">
        <v>58470357458354.867</v>
      </c>
    </row>
    <row r="98" spans="1:5" ht="16.8" thickBot="1" x14ac:dyDescent="0.4">
      <c r="A98" s="1">
        <v>44562</v>
      </c>
      <c r="B98" s="9">
        <v>6.0123570694655307E-2</v>
      </c>
      <c r="C98" s="10">
        <v>3523455180606.4897</v>
      </c>
      <c r="D98" s="6">
        <v>58603558303294.648</v>
      </c>
      <c r="E98" s="6">
        <v>3523455180606.4897</v>
      </c>
    </row>
    <row r="99" spans="1:5" ht="16.8" thickBot="1" x14ac:dyDescent="0.4">
      <c r="A99" s="1">
        <v>44593</v>
      </c>
      <c r="B99" s="9">
        <v>7.5394250119116824E-2</v>
      </c>
      <c r="C99" s="10">
        <v>4452750104386.6816</v>
      </c>
      <c r="D99" s="6">
        <v>59059544956700.234</v>
      </c>
      <c r="E99" s="6">
        <v>7976205284993.1709</v>
      </c>
    </row>
    <row r="100" spans="1:5" ht="16.8" thickBot="1" x14ac:dyDescent="0.4">
      <c r="A100" s="1">
        <v>44621</v>
      </c>
      <c r="B100" s="9">
        <v>9.2485378902964863E-2</v>
      </c>
      <c r="C100" s="10">
        <v>5518738163254.5381</v>
      </c>
      <c r="D100" s="6">
        <v>59671466222188.125</v>
      </c>
      <c r="E100" s="6">
        <v>13494943448247.709</v>
      </c>
    </row>
    <row r="101" spans="1:5" ht="16.8" thickBot="1" x14ac:dyDescent="0.4">
      <c r="A101" s="1">
        <v>44652</v>
      </c>
      <c r="B101" s="9">
        <v>0.10414610231399568</v>
      </c>
      <c r="C101" s="10">
        <v>6324208708959.9316</v>
      </c>
      <c r="D101" s="6">
        <v>60724391680955.422</v>
      </c>
      <c r="E101" s="6">
        <v>19819152157207.641</v>
      </c>
    </row>
    <row r="102" spans="1:5" ht="16.8" thickBot="1" x14ac:dyDescent="0.4">
      <c r="A102" s="1">
        <v>44682</v>
      </c>
      <c r="B102" s="9">
        <v>6.7917959755581125E-2</v>
      </c>
      <c r="C102" s="10">
        <v>4195630663426.0937</v>
      </c>
      <c r="D102" s="6">
        <v>61774980852267.43</v>
      </c>
      <c r="E102" s="6">
        <v>24014782820633.734</v>
      </c>
    </row>
    <row r="103" spans="1:5" ht="16.8" thickBot="1" x14ac:dyDescent="0.4">
      <c r="A103" s="1">
        <v>44713</v>
      </c>
      <c r="B103" s="9">
        <v>8.3404962587005332E-2</v>
      </c>
      <c r="C103" s="10">
        <v>5222654723900.5547</v>
      </c>
      <c r="D103" s="6">
        <v>62618033290914.219</v>
      </c>
      <c r="E103" s="6">
        <v>29237437544534.289</v>
      </c>
    </row>
    <row r="104" spans="1:5" ht="16.8" thickBot="1" x14ac:dyDescent="0.4">
      <c r="A104" s="1">
        <v>44743</v>
      </c>
      <c r="B104" s="9">
        <v>8.9021270708338429E-2</v>
      </c>
      <c r="C104" s="10">
        <v>5729350096342.8594</v>
      </c>
      <c r="D104" s="6">
        <v>64359338512634.867</v>
      </c>
      <c r="E104" s="6">
        <v>34966787640877.148</v>
      </c>
    </row>
    <row r="105" spans="1:5" ht="16.8" thickBot="1" x14ac:dyDescent="0.4">
      <c r="A105" s="1">
        <v>44774</v>
      </c>
      <c r="B105" s="9">
        <v>7.6450296248725721E-2</v>
      </c>
      <c r="C105" s="10">
        <v>4948904344701.6406</v>
      </c>
      <c r="D105" s="6">
        <v>64733618933283.453</v>
      </c>
      <c r="E105" s="6">
        <v>39915691985578.789</v>
      </c>
    </row>
    <row r="106" spans="1:5" ht="16.8" thickBot="1" x14ac:dyDescent="0.4">
      <c r="A106" s="1">
        <v>44805</v>
      </c>
      <c r="B106" s="9">
        <v>7.9563414773373073E-2</v>
      </c>
      <c r="C106" s="10">
        <v>5202193825299.3984</v>
      </c>
      <c r="D106" s="6">
        <v>65384245260428.164</v>
      </c>
      <c r="E106" s="6">
        <v>45117885810878.187</v>
      </c>
    </row>
    <row r="107" spans="1:5" ht="16.8" thickBot="1" x14ac:dyDescent="0.4">
      <c r="A107" s="1">
        <v>44835</v>
      </c>
      <c r="B107" s="9">
        <v>8.1156040454319123E-2</v>
      </c>
      <c r="C107" s="10">
        <v>5360779485816.7266</v>
      </c>
      <c r="D107" s="6">
        <v>66055212351496.945</v>
      </c>
      <c r="E107" s="6">
        <v>50478665296694.914</v>
      </c>
    </row>
    <row r="108" spans="1:5" ht="16.8" thickBot="1" x14ac:dyDescent="0.4">
      <c r="A108" s="1">
        <v>44866</v>
      </c>
      <c r="B108" s="9">
        <v>8.1688612139321298E-2</v>
      </c>
      <c r="C108" s="10">
        <v>5493286704251.6328</v>
      </c>
      <c r="D108" s="6">
        <v>67246664625452.812</v>
      </c>
      <c r="E108" s="6">
        <v>55971952000946.547</v>
      </c>
    </row>
    <row r="109" spans="1:5" ht="16.8" thickBot="1" x14ac:dyDescent="0.4">
      <c r="A109" s="1">
        <v>44896</v>
      </c>
      <c r="B109" s="9">
        <v>0.17871302227252514</v>
      </c>
      <c r="C109" s="10">
        <v>12817191271773.68</v>
      </c>
      <c r="D109" s="6">
        <v>71719403033922.953</v>
      </c>
      <c r="E109" s="6">
        <v>68789143272720.227</v>
      </c>
    </row>
    <row r="110" spans="1:5" ht="16.8" thickBot="1" x14ac:dyDescent="0.4">
      <c r="A110" s="1">
        <v>44927</v>
      </c>
      <c r="B110" s="9">
        <v>6.8768126300349341E-2</v>
      </c>
      <c r="C110" s="10">
        <v>4776386403213.9805</v>
      </c>
      <c r="D110" s="6">
        <v>69456398773361.906</v>
      </c>
      <c r="E110" s="6">
        <v>4776386403213.9805</v>
      </c>
    </row>
    <row r="111" spans="1:5" ht="16.8" thickBot="1" x14ac:dyDescent="0.4">
      <c r="A111" s="1">
        <v>44958</v>
      </c>
      <c r="B111" s="9">
        <v>7.9988471740537012E-2</v>
      </c>
      <c r="C111" s="10">
        <v>5605645289228.1895</v>
      </c>
      <c r="D111" s="6">
        <v>70080664966465.773</v>
      </c>
      <c r="E111" s="6">
        <v>10382031692442.17</v>
      </c>
    </row>
    <row r="112" spans="1:5" ht="16.8" thickBot="1" x14ac:dyDescent="0.4">
      <c r="A112" s="1">
        <v>44986</v>
      </c>
      <c r="B112" s="9">
        <v>7.9187830976930634E-2</v>
      </c>
      <c r="C112" s="10">
        <v>5640122879585.0996</v>
      </c>
      <c r="D112" s="6">
        <v>71224616333135.906</v>
      </c>
      <c r="E112" s="6">
        <v>16022154572027.27</v>
      </c>
    </row>
    <row r="113" spans="1:5" ht="16.8" thickBot="1" x14ac:dyDescent="0.4">
      <c r="A113" s="1">
        <v>45017</v>
      </c>
      <c r="B113" s="9">
        <v>9.0072732359786467E-2</v>
      </c>
      <c r="C113" s="10">
        <v>6395557052167.1523</v>
      </c>
      <c r="D113" s="6">
        <v>71004363747074.344</v>
      </c>
      <c r="E113" s="6">
        <v>22417711624194.422</v>
      </c>
    </row>
    <row r="114" spans="1:5" ht="16.8" thickBot="1" x14ac:dyDescent="0.4">
      <c r="A114" s="1">
        <v>45047</v>
      </c>
      <c r="B114" s="9">
        <v>7.4961740919082934E-2</v>
      </c>
      <c r="C114" s="10">
        <v>5343103127186.75</v>
      </c>
      <c r="D114" s="6">
        <v>71277735304391.281</v>
      </c>
      <c r="E114" s="6">
        <v>27760814751381.172</v>
      </c>
    </row>
    <row r="115" spans="1:5" ht="16.8" thickBot="1" x14ac:dyDescent="0.4">
      <c r="A115" s="1">
        <v>45078</v>
      </c>
      <c r="B115" s="9">
        <v>7.7816272055573399E-2</v>
      </c>
      <c r="C115" s="10">
        <v>5617660784688.5508</v>
      </c>
      <c r="D115" s="6">
        <v>72191337830687.047</v>
      </c>
      <c r="E115" s="6">
        <v>33378475536069.723</v>
      </c>
    </row>
    <row r="116" spans="1:5" ht="16.8" thickBot="1" x14ac:dyDescent="0.4">
      <c r="A116" s="1">
        <v>45108</v>
      </c>
      <c r="B116" s="9">
        <v>7.7440059529534269E-2</v>
      </c>
      <c r="C116" s="10">
        <v>5569461322961.3711</v>
      </c>
      <c r="D116" s="6">
        <v>71919641549827.031</v>
      </c>
      <c r="E116" s="6">
        <v>38947936859031.094</v>
      </c>
    </row>
    <row r="117" spans="1:5" ht="16.8" thickBot="1" x14ac:dyDescent="0.4">
      <c r="A117" s="1">
        <v>45139</v>
      </c>
      <c r="B117" s="9">
        <v>7.3087256638571546E-2</v>
      </c>
      <c r="C117" s="10">
        <v>5279660535853.5625</v>
      </c>
      <c r="D117" s="6">
        <v>72237771380069.016</v>
      </c>
      <c r="E117" s="6">
        <v>44227597394884.656</v>
      </c>
    </row>
    <row r="118" spans="1:5" ht="16.8" thickBot="1" x14ac:dyDescent="0.4">
      <c r="A118" s="1">
        <v>45170</v>
      </c>
      <c r="B118" s="9">
        <v>7.8871897036683944E-2</v>
      </c>
      <c r="C118" s="10">
        <v>5773400934504.0547</v>
      </c>
      <c r="D118" s="6">
        <v>73199721972184.844</v>
      </c>
      <c r="E118" s="6">
        <v>50000998329388.711</v>
      </c>
    </row>
    <row r="119" spans="1:5" ht="16.8" thickBot="1" x14ac:dyDescent="0.4">
      <c r="A119" s="1">
        <v>45200</v>
      </c>
      <c r="B119" s="9">
        <v>8.0512246781033414E-2</v>
      </c>
      <c r="C119" s="10">
        <v>6036909236772.1641</v>
      </c>
      <c r="D119" s="6">
        <v>74981254133803.437</v>
      </c>
      <c r="E119" s="6">
        <v>56037907566160.875</v>
      </c>
    </row>
    <row r="120" spans="1:5" ht="16.8" thickBot="1" x14ac:dyDescent="0.4">
      <c r="A120" s="1">
        <v>45231</v>
      </c>
      <c r="B120" s="9">
        <v>8.0334431218297059E-2</v>
      </c>
      <c r="C120" s="10">
        <v>6061138384257.5078</v>
      </c>
      <c r="D120" s="6">
        <v>75448824275449.859</v>
      </c>
      <c r="E120" s="6">
        <v>62099045950418.383</v>
      </c>
    </row>
    <row r="121" spans="1:5" ht="16.8" thickBot="1" x14ac:dyDescent="0.4">
      <c r="A121" s="1">
        <v>45261</v>
      </c>
      <c r="B121" s="9">
        <v>0.16607281065064169</v>
      </c>
      <c r="C121" s="10">
        <v>12808942845341.945</v>
      </c>
      <c r="D121" s="6">
        <v>77128476330104.5</v>
      </c>
      <c r="E121" s="6">
        <v>74907988795760.328</v>
      </c>
    </row>
    <row r="122" spans="1:5" ht="16.8" thickBot="1" x14ac:dyDescent="0.4">
      <c r="A122" s="1">
        <v>45292</v>
      </c>
      <c r="B122" s="9">
        <v>5.7342660144534346E-2</v>
      </c>
      <c r="C122" s="10">
        <v>4763002960354.9902</v>
      </c>
      <c r="D122" s="6">
        <v>83062120737853.125</v>
      </c>
      <c r="E122" s="6">
        <v>4763002960354.9902</v>
      </c>
    </row>
    <row r="123" spans="1:5" ht="16.8" thickBot="1" x14ac:dyDescent="0.4">
      <c r="A123" s="1">
        <v>45323</v>
      </c>
      <c r="B123" s="9">
        <v>8.5343777233465201E-2</v>
      </c>
      <c r="C123" s="10">
        <v>7131204877431.3398</v>
      </c>
      <c r="D123" s="6">
        <v>83558580468301.969</v>
      </c>
      <c r="E123" s="6">
        <v>11894207837786.33</v>
      </c>
    </row>
    <row r="124" spans="1:5" ht="16.8" thickBot="1" x14ac:dyDescent="0.4">
      <c r="A124" s="1">
        <v>45352</v>
      </c>
      <c r="B124" s="9">
        <v>7.7041151409159611E-2</v>
      </c>
      <c r="C124" s="10">
        <v>6530391315946.4824</v>
      </c>
      <c r="D124" s="6">
        <v>84764975555259.781</v>
      </c>
      <c r="E124" s="6">
        <v>18424599153732.812</v>
      </c>
    </row>
    <row r="125" spans="1:5" ht="16.8" thickBot="1" x14ac:dyDescent="0.4">
      <c r="A125" s="1">
        <v>45383</v>
      </c>
      <c r="B125" s="9">
        <v>9.0037308329422555E-2</v>
      </c>
      <c r="C125" s="10">
        <v>7618391204335.5</v>
      </c>
      <c r="D125" s="6">
        <v>84613715643984.312</v>
      </c>
      <c r="E125" s="6">
        <v>26042990358068.312</v>
      </c>
    </row>
    <row r="126" spans="1:5" ht="16.8" thickBot="1" x14ac:dyDescent="0.4">
      <c r="A126" s="1">
        <v>45413</v>
      </c>
      <c r="B126" s="9">
        <v>7.052280380686006E-2</v>
      </c>
      <c r="C126" s="10">
        <v>5982910402741.7852</v>
      </c>
      <c r="D126" s="6">
        <v>84836536266015.578</v>
      </c>
      <c r="E126" s="6">
        <v>32025900760810.098</v>
      </c>
    </row>
    <row r="127" spans="1:5" ht="16.8" thickBot="1" x14ac:dyDescent="0.4">
      <c r="A127" s="1">
        <v>45444</v>
      </c>
      <c r="B127" s="9">
        <v>7.6879180006008116E-2</v>
      </c>
      <c r="C127" s="10">
        <v>6587577765411.668</v>
      </c>
      <c r="D127" s="6">
        <v>85687409320661.953</v>
      </c>
      <c r="E127" s="6">
        <v>38613478526221.766</v>
      </c>
    </row>
    <row r="128" spans="1:5" ht="16.8" thickBot="1" x14ac:dyDescent="0.4">
      <c r="A128" s="1">
        <v>45474</v>
      </c>
      <c r="B128" s="9">
        <v>7.8311112476526196E-2</v>
      </c>
      <c r="C128" s="10">
        <v>6740454778281.3828</v>
      </c>
      <c r="D128" s="6">
        <v>86072775179918.922</v>
      </c>
      <c r="E128" s="6">
        <v>45353933304503.148</v>
      </c>
    </row>
    <row r="129" spans="1:5" ht="16.8" thickBot="1" x14ac:dyDescent="0.4">
      <c r="A129" s="1">
        <v>45505</v>
      </c>
      <c r="B129" s="9">
        <v>6.8358568251853047E-2</v>
      </c>
      <c r="C129" s="10">
        <v>5907520133150.1016</v>
      </c>
      <c r="D129" s="6">
        <v>86419600120720.234</v>
      </c>
      <c r="E129" s="6">
        <v>51261453437653.25</v>
      </c>
    </row>
    <row r="130" spans="1:5" ht="16.8" thickBot="1" x14ac:dyDescent="0.4">
      <c r="A130" s="1">
        <v>45536</v>
      </c>
      <c r="B130" s="9">
        <v>7.7979962782986953E-2</v>
      </c>
      <c r="C130" s="10">
        <v>6806354936893.25</v>
      </c>
      <c r="D130" s="6">
        <v>87283382730444.266</v>
      </c>
      <c r="E130" s="6">
        <v>58067808374546.5</v>
      </c>
    </row>
    <row r="131" spans="1:5" ht="16.8" thickBot="1" x14ac:dyDescent="0.4">
      <c r="A131" s="1">
        <v>45566</v>
      </c>
      <c r="B131" s="9">
        <v>8.9177031109468854E-2</v>
      </c>
      <c r="C131" s="10">
        <v>7793806716341.5469</v>
      </c>
      <c r="D131" s="6">
        <v>87397019382427.016</v>
      </c>
      <c r="E131" s="6">
        <v>65861615090888.047</v>
      </c>
    </row>
    <row r="132" spans="1:5" ht="16.8" thickBot="1" x14ac:dyDescent="0.4">
      <c r="A132" s="1">
        <v>45597</v>
      </c>
      <c r="B132" s="9">
        <v>8.0270874053172209E-2</v>
      </c>
      <c r="C132" s="10">
        <v>7157362797465.7812</v>
      </c>
      <c r="D132" s="6">
        <v>89165128471438.781</v>
      </c>
      <c r="E132" s="6">
        <v>73018977888353.828</v>
      </c>
    </row>
    <row r="133" spans="1:5" ht="16.8" thickBot="1" x14ac:dyDescent="0.4">
      <c r="A133" s="1">
        <v>45627</v>
      </c>
      <c r="B133" s="9">
        <v>0.17193466532131893</v>
      </c>
      <c r="C133" s="10">
        <v>15699648573874.562</v>
      </c>
      <c r="D133" s="6">
        <v>91311711600068.437</v>
      </c>
      <c r="E133" s="6">
        <v>88718626462228.391</v>
      </c>
    </row>
    <row r="134" spans="1:5" ht="16.8" thickBot="1" x14ac:dyDescent="0.4">
      <c r="A134" s="1">
        <v>45658</v>
      </c>
      <c r="B134" s="9">
        <v>7.2243802225561718E-2</v>
      </c>
      <c r="C134" s="10">
        <v>6750296454493.1904</v>
      </c>
      <c r="D134" s="6">
        <v>93437724019801.969</v>
      </c>
      <c r="E134" s="6">
        <v>6750296454493.1904</v>
      </c>
    </row>
    <row r="135" spans="1:5" ht="16.8" thickBot="1" x14ac:dyDescent="0.4">
      <c r="A135" s="1">
        <v>45689</v>
      </c>
      <c r="B135" s="9">
        <v>8.1476338520044017E-2</v>
      </c>
      <c r="C135" s="10">
        <v>7656135268630.4893</v>
      </c>
      <c r="D135" s="6">
        <v>93967591176756.203</v>
      </c>
      <c r="E135" s="6">
        <v>14406431723123.68</v>
      </c>
    </row>
    <row r="136" spans="1:5" ht="16.8" thickBot="1" x14ac:dyDescent="0.4">
      <c r="A136" s="1">
        <v>45717</v>
      </c>
      <c r="B136" s="9">
        <v>7.8387946737700595E-2</v>
      </c>
      <c r="C136" s="10">
        <v>7404644029646.6328</v>
      </c>
      <c r="D136" s="6">
        <v>94461512742817.859</v>
      </c>
      <c r="E136" s="6">
        <v>21811075752770.312</v>
      </c>
    </row>
    <row r="137" spans="1:5" ht="16.8" thickBot="1" x14ac:dyDescent="0.4">
      <c r="A137" s="1">
        <v>45748</v>
      </c>
      <c r="B137" s="9">
        <v>9.7584054469967499E-2</v>
      </c>
      <c r="C137" s="10">
        <v>9252143507484.7266</v>
      </c>
      <c r="D137" s="6">
        <v>94812042374527.172</v>
      </c>
      <c r="E137" s="6">
        <v>31063219260255.039</v>
      </c>
    </row>
    <row r="138" spans="1:5" ht="16.8" thickBot="1" x14ac:dyDescent="0.4">
      <c r="A138" s="1">
        <v>45778</v>
      </c>
      <c r="B138" s="9">
        <v>6.6134434420464197E-2</v>
      </c>
      <c r="C138" s="10">
        <v>6290966379447.2344</v>
      </c>
      <c r="D138" s="6">
        <v>95123915923300</v>
      </c>
      <c r="E138" s="6">
        <v>37354185639702.273</v>
      </c>
    </row>
    <row r="139" spans="1:5" ht="16.8" thickBot="1" x14ac:dyDescent="0.4">
      <c r="A139" s="1">
        <v>45809</v>
      </c>
      <c r="B139" s="9">
        <v>7.8868374513177547E-2</v>
      </c>
      <c r="C139" s="10">
        <v>7590433156532.9922</v>
      </c>
      <c r="D139" s="6">
        <v>96241785169095.391</v>
      </c>
      <c r="E139" s="6">
        <v>44944618796235.266</v>
      </c>
    </row>
    <row r="140" spans="1:5" ht="16.8" thickBot="1" x14ac:dyDescent="0.4">
      <c r="A140" s="1">
        <v>45839</v>
      </c>
      <c r="B140" s="9">
        <v>8.8768035089126451E-2</v>
      </c>
      <c r="C140" s="10">
        <v>8591455653164.0391</v>
      </c>
      <c r="D140" s="6">
        <v>96785466125704.984</v>
      </c>
      <c r="E140" s="6">
        <v>53536074449399.305</v>
      </c>
    </row>
    <row r="141" spans="1:5" ht="16.8" thickBot="1" x14ac:dyDescent="0.4">
      <c r="A141" s="1">
        <v>45870</v>
      </c>
      <c r="B141" s="9">
        <v>6.9833064832853925E-2</v>
      </c>
      <c r="C141" s="10">
        <v>6773804683013.2656</v>
      </c>
      <c r="D141" s="6">
        <v>96999962685676.594</v>
      </c>
      <c r="E141" s="6">
        <v>60309879132412.57</v>
      </c>
    </row>
    <row r="142" spans="1:5" ht="16.8" thickBot="1" x14ac:dyDescent="0.4">
      <c r="A142" s="1">
        <v>45901</v>
      </c>
      <c r="B142" s="9">
        <v>7.151867080301548E-2</v>
      </c>
      <c r="C142" s="10">
        <v>6952846279569.5469</v>
      </c>
      <c r="D142" s="6">
        <v>97217218965378.062</v>
      </c>
      <c r="E142" s="6">
        <v>67262725411982.117</v>
      </c>
    </row>
    <row r="143" spans="1:5" ht="16.8" thickBot="1" x14ac:dyDescent="0.4">
      <c r="A143" s="1">
        <v>45931</v>
      </c>
      <c r="B143" s="9">
        <v>8.2159133948359817E-2</v>
      </c>
      <c r="C143" s="10">
        <v>8028840159940.0234</v>
      </c>
      <c r="D143" s="6">
        <v>97723037891154.734</v>
      </c>
      <c r="E143" s="6">
        <v>75291565571922.141</v>
      </c>
    </row>
    <row r="144" spans="1:5" ht="16.8" thickBot="1" x14ac:dyDescent="0.4">
      <c r="A144" s="1">
        <v>45962</v>
      </c>
      <c r="B144" s="9">
        <v>7.6115829444051361E-2</v>
      </c>
      <c r="C144" s="10">
        <v>7450931413834.2969</v>
      </c>
      <c r="D144" s="6">
        <v>97889380806275.969</v>
      </c>
      <c r="E144" s="6">
        <v>82742496985756.437</v>
      </c>
    </row>
    <row r="145" spans="1:5" ht="16.8" thickBot="1" x14ac:dyDescent="0.4">
      <c r="A145" s="1">
        <v>45992</v>
      </c>
      <c r="B145" s="9">
        <v>0.13645132238333721</v>
      </c>
      <c r="C145" s="10">
        <v>13442409002708.203</v>
      </c>
      <c r="D145" s="6">
        <v>98514318277869.078</v>
      </c>
      <c r="E145" s="6">
        <v>96184905988464.641</v>
      </c>
    </row>
    <row r="146" spans="1:5" ht="16.2" x14ac:dyDescent="0.35">
      <c r="A146" s="1">
        <v>46023</v>
      </c>
      <c r="B146" s="9">
        <v>6.5899804802802053E-2</v>
      </c>
      <c r="C146" s="10">
        <v>6654820783412.5898</v>
      </c>
      <c r="D146" s="6">
        <v>100983922537045.62</v>
      </c>
      <c r="E146" s="6">
        <v>6654820783412.5898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0"/>
  <sheetViews>
    <sheetView workbookViewId="0">
      <selection activeCell="B1" sqref="B1:E1"/>
    </sheetView>
  </sheetViews>
  <sheetFormatPr defaultRowHeight="14.4" x14ac:dyDescent="0.3"/>
  <cols>
    <col min="1" max="1" width="10.109375" bestFit="1" customWidth="1"/>
    <col min="2" max="2" width="20.77734375" customWidth="1"/>
    <col min="3" max="3" width="19.6640625" bestFit="1" customWidth="1"/>
    <col min="4" max="4" width="33.77734375" customWidth="1"/>
    <col min="5" max="5" width="19" bestFit="1" customWidth="1"/>
  </cols>
  <sheetData>
    <row r="1" spans="1:5" ht="47.4" thickBot="1" x14ac:dyDescent="0.35">
      <c r="A1" s="4" t="s">
        <v>10</v>
      </c>
      <c r="B1" s="7" t="s">
        <v>9</v>
      </c>
      <c r="C1" s="7" t="s">
        <v>8</v>
      </c>
      <c r="D1" s="11" t="s">
        <v>4</v>
      </c>
      <c r="E1" s="11" t="s">
        <v>5</v>
      </c>
    </row>
    <row r="2" spans="1:5" ht="16.8" thickBot="1" x14ac:dyDescent="0.4">
      <c r="A2" s="1">
        <v>41640</v>
      </c>
      <c r="B2" s="9">
        <v>5.8758236449179102E-2</v>
      </c>
      <c r="C2" s="10">
        <v>1905201575075.74</v>
      </c>
      <c r="D2" s="6">
        <v>32220646113096.699</v>
      </c>
      <c r="E2" s="6">
        <v>11776231390253.6</v>
      </c>
    </row>
    <row r="3" spans="1:5" ht="16.8" thickBot="1" x14ac:dyDescent="0.4">
      <c r="A3" s="1">
        <v>41671</v>
      </c>
      <c r="B3" s="9">
        <v>9.5907187620220602E-2</v>
      </c>
      <c r="C3" s="10">
        <v>3136193025712.6499</v>
      </c>
      <c r="D3" s="6">
        <v>32458928364615</v>
      </c>
      <c r="E3" s="6">
        <v>15688108239938.4</v>
      </c>
    </row>
    <row r="4" spans="1:5" ht="16.8" thickBot="1" x14ac:dyDescent="0.4">
      <c r="A4" s="1">
        <v>41699</v>
      </c>
      <c r="B4" s="9">
        <v>7.9744870227154693E-2</v>
      </c>
      <c r="C4" s="10">
        <v>2623142419577.8799</v>
      </c>
      <c r="D4" s="6">
        <v>32683272516910.602</v>
      </c>
      <c r="E4" s="6">
        <v>15823348995788.4</v>
      </c>
    </row>
    <row r="5" spans="1:5" ht="16.8" thickBot="1" x14ac:dyDescent="0.4">
      <c r="A5" s="1">
        <v>41730</v>
      </c>
      <c r="B5" s="9">
        <v>7.8786244374462203E-2</v>
      </c>
      <c r="C5" s="10">
        <v>2617133735574.5098</v>
      </c>
      <c r="D5" s="6">
        <v>32938714754328.102</v>
      </c>
      <c r="E5" s="6">
        <v>15782647672698</v>
      </c>
    </row>
    <row r="6" spans="1:5" ht="16.8" thickBot="1" x14ac:dyDescent="0.4">
      <c r="A6" s="1">
        <v>41760</v>
      </c>
      <c r="B6" s="9">
        <v>8.0668734274846596E-2</v>
      </c>
      <c r="C6" s="10">
        <v>2702795523495.7402</v>
      </c>
      <c r="D6" s="6">
        <v>33157949973887.898</v>
      </c>
      <c r="E6" s="6">
        <v>15845687481376.199</v>
      </c>
    </row>
    <row r="7" spans="1:5" ht="16.8" thickBot="1" x14ac:dyDescent="0.4">
      <c r="A7" s="1">
        <v>41791</v>
      </c>
      <c r="B7" s="9">
        <v>8.0557813570538706E-2</v>
      </c>
      <c r="C7" s="10">
        <v>2712441541267.8198</v>
      </c>
      <c r="D7" s="6">
        <v>33395204732121.602</v>
      </c>
      <c r="E7" s="6">
        <v>15871995576262.301</v>
      </c>
    </row>
    <row r="8" spans="1:5" ht="16.8" thickBot="1" x14ac:dyDescent="0.4">
      <c r="A8" s="1">
        <v>41821</v>
      </c>
      <c r="B8" s="9">
        <v>8.0321140679237901E-2</v>
      </c>
      <c r="C8" s="10">
        <v>2708241925036.25</v>
      </c>
      <c r="D8" s="6">
        <v>33637929046148.102</v>
      </c>
      <c r="E8" s="6">
        <v>15969702136944.301</v>
      </c>
    </row>
    <row r="9" spans="1:5" ht="16.8" thickBot="1" x14ac:dyDescent="0.4">
      <c r="A9" s="1">
        <v>41852</v>
      </c>
      <c r="B9" s="9">
        <v>8.3407508576303302E-2</v>
      </c>
      <c r="C9" s="10">
        <v>2826223481891.23</v>
      </c>
      <c r="D9" s="6">
        <v>33879153553768.699</v>
      </c>
      <c r="E9" s="6">
        <v>15991967747565.4</v>
      </c>
    </row>
    <row r="10" spans="1:5" ht="16.8" thickBot="1" x14ac:dyDescent="0.4">
      <c r="A10" s="1">
        <v>41883</v>
      </c>
      <c r="B10" s="9">
        <v>8.2110296236853397E-2</v>
      </c>
      <c r="C10" s="10">
        <v>2792190020929.23</v>
      </c>
      <c r="D10" s="6">
        <v>34126143839257.5</v>
      </c>
      <c r="E10" s="6">
        <v>16082023891080.199</v>
      </c>
    </row>
    <row r="11" spans="1:5" ht="16.8" thickBot="1" x14ac:dyDescent="0.4">
      <c r="A11" s="1">
        <v>41913</v>
      </c>
      <c r="B11" s="9">
        <v>8.6682263064983903E-2</v>
      </c>
      <c r="C11" s="10">
        <v>2950888772115.52</v>
      </c>
      <c r="D11" s="6">
        <v>34369423540080.5</v>
      </c>
      <c r="E11" s="6">
        <v>16271574348729</v>
      </c>
    </row>
    <row r="12" spans="1:5" ht="16.8" thickBot="1" x14ac:dyDescent="0.4">
      <c r="A12" s="1">
        <v>41944</v>
      </c>
      <c r="B12" s="9">
        <v>7.8760788820947905E-2</v>
      </c>
      <c r="C12" s="10">
        <v>2692438336639.75</v>
      </c>
      <c r="D12" s="6">
        <v>34564736701852.398</v>
      </c>
      <c r="E12" s="6">
        <v>16170092829155.6</v>
      </c>
    </row>
    <row r="13" spans="1:5" ht="16.8" thickBot="1" x14ac:dyDescent="0.4">
      <c r="A13" s="1">
        <v>41974</v>
      </c>
      <c r="B13" s="9">
        <v>8.7779597325933198E-2</v>
      </c>
      <c r="C13" s="10">
        <v>3059226975525.21</v>
      </c>
      <c r="D13" s="6">
        <v>35638569101603.797</v>
      </c>
      <c r="E13" s="6">
        <v>16488426708890.301</v>
      </c>
    </row>
    <row r="14" spans="1:5" ht="16.8" thickBot="1" x14ac:dyDescent="0.4">
      <c r="A14" s="1">
        <v>42005</v>
      </c>
      <c r="B14" s="9">
        <v>9.1303110717160102E-2</v>
      </c>
      <c r="C14" s="10">
        <v>3305396348205.8101</v>
      </c>
      <c r="D14" s="6">
        <v>35892873432043.602</v>
      </c>
      <c r="E14" s="6">
        <v>19835641366481.602</v>
      </c>
    </row>
    <row r="15" spans="1:5" ht="16.8" thickBot="1" x14ac:dyDescent="0.4">
      <c r="A15" s="1">
        <v>42036</v>
      </c>
      <c r="B15" s="9">
        <v>8.7011486141969602E-2</v>
      </c>
      <c r="C15" s="10">
        <v>3169170566162.3198</v>
      </c>
      <c r="D15" s="6">
        <v>36131773890557.203</v>
      </c>
      <c r="E15" s="6">
        <v>19417470283720.699</v>
      </c>
    </row>
    <row r="16" spans="1:5" ht="16.8" thickBot="1" x14ac:dyDescent="0.4">
      <c r="A16" s="1">
        <v>42064</v>
      </c>
      <c r="B16" s="9">
        <v>7.7538505154948006E-2</v>
      </c>
      <c r="C16" s="10">
        <v>2838940731985.6299</v>
      </c>
      <c r="D16" s="6">
        <v>36408648445431.703</v>
      </c>
      <c r="E16" s="6">
        <v>18871624762213.602</v>
      </c>
    </row>
    <row r="17" spans="1:5" ht="16.8" thickBot="1" x14ac:dyDescent="0.4">
      <c r="A17" s="1">
        <v>42095</v>
      </c>
      <c r="B17" s="9">
        <v>8.9186394340091901E-2</v>
      </c>
      <c r="C17" s="10">
        <v>3251384299727.1899</v>
      </c>
      <c r="D17" s="6">
        <v>36203656865137.797</v>
      </c>
      <c r="E17" s="6">
        <v>19058975183252.602</v>
      </c>
    </row>
    <row r="18" spans="1:5" ht="16.8" thickBot="1" x14ac:dyDescent="0.4">
      <c r="A18" s="1">
        <v>42125</v>
      </c>
      <c r="B18" s="9">
        <v>8.10285491745808E-2</v>
      </c>
      <c r="C18" s="10">
        <v>2988965777503.8999</v>
      </c>
      <c r="D18" s="6">
        <v>36491432783544.102</v>
      </c>
      <c r="E18" s="6">
        <v>18747328790382.801</v>
      </c>
    </row>
    <row r="19" spans="1:5" ht="16.8" thickBot="1" x14ac:dyDescent="0.4">
      <c r="A19" s="1">
        <v>42156</v>
      </c>
      <c r="B19" s="9">
        <v>8.0238460976346501E-2</v>
      </c>
      <c r="C19" s="10">
        <v>2966662357672.3101</v>
      </c>
      <c r="D19" s="6">
        <v>36740469617409.5</v>
      </c>
      <c r="E19" s="6">
        <v>18621757985389.301</v>
      </c>
    </row>
    <row r="20" spans="1:5" ht="16.8" thickBot="1" x14ac:dyDescent="0.4">
      <c r="A20" s="1">
        <v>42186</v>
      </c>
      <c r="B20" s="9">
        <v>8.5533689613254998E-2</v>
      </c>
      <c r="C20" s="10">
        <v>3168117304645.9502</v>
      </c>
      <c r="D20" s="6">
        <v>37000499400286</v>
      </c>
      <c r="E20" s="6">
        <v>18727829906887.102</v>
      </c>
    </row>
    <row r="21" spans="1:5" ht="16.8" thickBot="1" x14ac:dyDescent="0.4">
      <c r="A21" s="1">
        <v>42217</v>
      </c>
      <c r="B21" s="9">
        <v>8.2781420232905203E-2</v>
      </c>
      <c r="C21" s="10">
        <v>3079592764037.4902</v>
      </c>
      <c r="D21" s="6">
        <v>37244711020159.203</v>
      </c>
      <c r="E21" s="6">
        <v>18590404788095.5</v>
      </c>
    </row>
    <row r="22" spans="1:5" ht="16.8" thickBot="1" x14ac:dyDescent="0.4">
      <c r="A22" s="1">
        <v>42248</v>
      </c>
      <c r="B22" s="9">
        <v>7.5029416018725398E-2</v>
      </c>
      <c r="C22" s="10">
        <v>2799045162961.8599</v>
      </c>
      <c r="D22" s="6">
        <v>37509855741360.398</v>
      </c>
      <c r="E22" s="6">
        <v>18397492723266.5</v>
      </c>
    </row>
    <row r="23" spans="1:5" ht="16.8" thickBot="1" x14ac:dyDescent="0.4">
      <c r="A23" s="1">
        <v>42278</v>
      </c>
      <c r="B23" s="9">
        <v>7.9032628187874404E-2</v>
      </c>
      <c r="C23" s="10">
        <v>2957835940154.5098</v>
      </c>
      <c r="D23" s="6">
        <v>37789020178174.898</v>
      </c>
      <c r="E23" s="6">
        <v>18290825946622.398</v>
      </c>
    </row>
    <row r="24" spans="1:5" ht="16.8" thickBot="1" x14ac:dyDescent="0.4">
      <c r="A24" s="1">
        <v>42309</v>
      </c>
      <c r="B24" s="9">
        <v>7.73092625463144E-2</v>
      </c>
      <c r="C24" s="10">
        <v>2918500727803.4199</v>
      </c>
      <c r="D24" s="6">
        <v>38084884520863.602</v>
      </c>
      <c r="E24" s="6">
        <v>18166023177998.199</v>
      </c>
    </row>
    <row r="25" spans="1:5" ht="16.8" thickBot="1" x14ac:dyDescent="0.4">
      <c r="A25" s="1">
        <v>42339</v>
      </c>
      <c r="B25" s="9">
        <v>7.5370299047343894E-2</v>
      </c>
      <c r="C25" s="10">
        <v>2833602871918.52</v>
      </c>
      <c r="D25" s="6">
        <v>38389368681598.703</v>
      </c>
      <c r="E25" s="6">
        <v>17943570343226.602</v>
      </c>
    </row>
    <row r="26" spans="1:5" ht="16.8" thickBot="1" x14ac:dyDescent="0.4">
      <c r="A26" s="1">
        <v>42370</v>
      </c>
      <c r="B26" s="9">
        <v>6.2937918773618401E-2</v>
      </c>
      <c r="C26" s="10">
        <v>2330255616343.8701</v>
      </c>
      <c r="D26" s="6">
        <v>36607726576302.898</v>
      </c>
      <c r="E26" s="6">
        <v>13576277595186.1</v>
      </c>
    </row>
    <row r="27" spans="1:5" ht="16.8" thickBot="1" x14ac:dyDescent="0.4">
      <c r="A27" s="1">
        <v>42401</v>
      </c>
      <c r="B27" s="9">
        <v>7.9400340439455E-2</v>
      </c>
      <c r="C27" s="10">
        <v>2955069644193.02</v>
      </c>
      <c r="D27" s="6">
        <v>36848080192274.297</v>
      </c>
      <c r="E27" s="6">
        <v>16331821971359</v>
      </c>
    </row>
    <row r="28" spans="1:5" ht="16.8" thickBot="1" x14ac:dyDescent="0.4">
      <c r="A28" s="1">
        <v>42430</v>
      </c>
      <c r="B28" s="9">
        <v>9.4109226058063197E-2</v>
      </c>
      <c r="C28" s="10">
        <v>3511494809054.7998</v>
      </c>
      <c r="D28" s="6">
        <v>37092836359378.297</v>
      </c>
      <c r="E28" s="6">
        <v>18672019133224.301</v>
      </c>
    </row>
    <row r="29" spans="1:5" ht="16.8" thickBot="1" x14ac:dyDescent="0.4">
      <c r="A29" s="1">
        <v>42461</v>
      </c>
      <c r="B29" s="9">
        <v>8.2347142514027805E-2</v>
      </c>
      <c r="C29" s="10">
        <v>3099590845224.2798</v>
      </c>
      <c r="D29" s="6">
        <v>37367573598201.703</v>
      </c>
      <c r="E29" s="6">
        <v>18480728548447.5</v>
      </c>
    </row>
    <row r="30" spans="1:5" ht="16.8" thickBot="1" x14ac:dyDescent="0.4">
      <c r="A30" s="1">
        <v>42491</v>
      </c>
      <c r="B30" s="9">
        <v>8.5478279033878696E-2</v>
      </c>
      <c r="C30" s="10">
        <v>3241897718737.77</v>
      </c>
      <c r="D30" s="6">
        <v>37651114870818.398</v>
      </c>
      <c r="E30" s="6">
        <v>18637087328477.102</v>
      </c>
    </row>
    <row r="31" spans="1:5" ht="16.8" thickBot="1" x14ac:dyDescent="0.4">
      <c r="A31" s="1">
        <v>42522</v>
      </c>
      <c r="B31" s="9">
        <v>8.3309792587317494E-2</v>
      </c>
      <c r="C31" s="10">
        <v>3175794191279.9102</v>
      </c>
      <c r="D31" s="6">
        <v>37962631971128.5</v>
      </c>
      <c r="E31" s="6">
        <v>18750587675507.699</v>
      </c>
    </row>
    <row r="32" spans="1:5" ht="16.8" thickBot="1" x14ac:dyDescent="0.4">
      <c r="A32" s="1">
        <v>42552</v>
      </c>
      <c r="B32" s="9">
        <v>7.8349714752193197E-2</v>
      </c>
      <c r="C32" s="10">
        <v>3001470983480.6802</v>
      </c>
      <c r="D32" s="6">
        <v>38173883068972.898</v>
      </c>
      <c r="E32" s="6">
        <v>18525169974340.602</v>
      </c>
    </row>
    <row r="33" spans="1:5" ht="16.8" thickBot="1" x14ac:dyDescent="0.4">
      <c r="A33" s="1">
        <v>42583</v>
      </c>
      <c r="B33" s="9">
        <v>8.3528802670535404E-2</v>
      </c>
      <c r="C33" s="10">
        <v>3207240195175.0498</v>
      </c>
      <c r="D33" s="6">
        <v>38525597370333.297</v>
      </c>
      <c r="E33" s="6">
        <v>18637475495517.801</v>
      </c>
    </row>
    <row r="34" spans="1:5" ht="16.8" thickBot="1" x14ac:dyDescent="0.4">
      <c r="A34" s="1">
        <v>42614</v>
      </c>
      <c r="B34" s="9">
        <v>8.3233780495592005E-2</v>
      </c>
      <c r="C34" s="10">
        <v>3213658417908.52</v>
      </c>
      <c r="D34" s="6">
        <v>38824802798591.398</v>
      </c>
      <c r="E34" s="6">
        <v>18715523867119.699</v>
      </c>
    </row>
    <row r="35" spans="1:5" ht="16.8" thickBot="1" x14ac:dyDescent="0.4">
      <c r="A35" s="1">
        <v>42644</v>
      </c>
      <c r="B35" s="9">
        <v>7.9892992967887003E-2</v>
      </c>
      <c r="C35" s="10">
        <v>3096711323116.9502</v>
      </c>
      <c r="D35" s="6">
        <v>39079016380823.102</v>
      </c>
      <c r="E35" s="6">
        <v>18605480061841.898</v>
      </c>
    </row>
    <row r="36" spans="1:5" ht="16.8" thickBot="1" x14ac:dyDescent="0.4">
      <c r="A36" s="1">
        <v>42675</v>
      </c>
      <c r="B36" s="9">
        <v>8.2196383030206405E-2</v>
      </c>
      <c r="C36" s="10">
        <v>3216239757563.96</v>
      </c>
      <c r="D36" s="6">
        <v>39474877818008.602</v>
      </c>
      <c r="E36" s="6">
        <v>18664239124154.898</v>
      </c>
    </row>
    <row r="37" spans="1:5" ht="16.8" thickBot="1" x14ac:dyDescent="0.4">
      <c r="A37" s="1">
        <v>42705</v>
      </c>
      <c r="B37" s="9">
        <v>8.3389013341774995E-2</v>
      </c>
      <c r="C37" s="10">
        <v>3238796862672.52</v>
      </c>
      <c r="D37" s="6">
        <v>39715549049916.398</v>
      </c>
      <c r="E37" s="6">
        <v>18659881946852.398</v>
      </c>
    </row>
    <row r="38" spans="1:5" ht="16.8" thickBot="1" x14ac:dyDescent="0.4">
      <c r="A38" s="1">
        <v>42736</v>
      </c>
      <c r="B38" s="9">
        <v>8.8463330470499493E-2</v>
      </c>
      <c r="C38" s="10">
        <v>3441850335050.6099</v>
      </c>
      <c r="D38" s="6">
        <v>38626301715640.203</v>
      </c>
      <c r="E38" s="6">
        <v>20654056357209.301</v>
      </c>
    </row>
    <row r="39" spans="1:5" ht="16.8" thickBot="1" x14ac:dyDescent="0.4">
      <c r="A39" s="1">
        <v>42767</v>
      </c>
      <c r="B39" s="9">
        <v>7.6900523850729693E-2</v>
      </c>
      <c r="C39" s="10">
        <v>3029122258197.9199</v>
      </c>
      <c r="D39" s="6">
        <v>38953348149354.797</v>
      </c>
      <c r="E39" s="6">
        <v>19320426431360.398</v>
      </c>
    </row>
    <row r="40" spans="1:5" ht="16.8" thickBot="1" x14ac:dyDescent="0.4">
      <c r="A40" s="1">
        <v>42795</v>
      </c>
      <c r="B40" s="9">
        <v>8.7364552908012594E-2</v>
      </c>
      <c r="C40" s="10">
        <v>3459296308054.2798</v>
      </c>
      <c r="D40" s="6">
        <v>39299196107011.297</v>
      </c>
      <c r="E40" s="6">
        <v>20458961563732</v>
      </c>
    </row>
    <row r="41" spans="1:5" ht="16.8" thickBot="1" x14ac:dyDescent="0.4">
      <c r="A41" s="1">
        <v>42826</v>
      </c>
      <c r="B41" s="9">
        <v>7.67214350374886E-2</v>
      </c>
      <c r="C41" s="10">
        <v>3065540333213.2598</v>
      </c>
      <c r="D41" s="6">
        <v>39593223567611.797</v>
      </c>
      <c r="E41" s="6">
        <v>19509933768129</v>
      </c>
    </row>
    <row r="42" spans="1:5" ht="16.8" thickBot="1" x14ac:dyDescent="0.4">
      <c r="A42" s="1">
        <v>42856</v>
      </c>
      <c r="B42" s="9">
        <v>8.6217075452555497E-2</v>
      </c>
      <c r="C42" s="10">
        <v>3454588359168.3198</v>
      </c>
      <c r="D42" s="6">
        <v>39867216787041.203</v>
      </c>
      <c r="E42" s="6">
        <v>19820486468659.699</v>
      </c>
    </row>
    <row r="43" spans="1:5" ht="16.8" thickBot="1" x14ac:dyDescent="0.4">
      <c r="A43" s="1">
        <v>42887</v>
      </c>
      <c r="B43" s="9">
        <v>8.1162331435555901E-2</v>
      </c>
      <c r="C43" s="10">
        <v>3268672033001.04</v>
      </c>
      <c r="D43" s="6">
        <v>40154670146224.102</v>
      </c>
      <c r="E43" s="6">
        <v>19826788150794.801</v>
      </c>
    </row>
    <row r="44" spans="1:5" ht="16.8" thickBot="1" x14ac:dyDescent="0.4">
      <c r="A44" s="1">
        <v>42917</v>
      </c>
      <c r="B44" s="9">
        <v>7.8640822366348104E-2</v>
      </c>
      <c r="C44" s="10">
        <v>3211339706127.1899</v>
      </c>
      <c r="D44" s="6">
        <v>40584655896104.203</v>
      </c>
      <c r="E44" s="6">
        <v>19621063717656.398</v>
      </c>
    </row>
    <row r="45" spans="1:5" ht="16.8" thickBot="1" x14ac:dyDescent="0.4">
      <c r="A45" s="1">
        <v>42948</v>
      </c>
      <c r="B45" s="9">
        <v>8.1364303428770393E-2</v>
      </c>
      <c r="C45" s="10">
        <v>3316614698987.52</v>
      </c>
      <c r="D45" s="6">
        <v>40836911947302.797</v>
      </c>
      <c r="E45" s="6">
        <v>19680612813981.301</v>
      </c>
    </row>
    <row r="46" spans="1:5" ht="16.8" thickBot="1" x14ac:dyDescent="0.4">
      <c r="A46" s="1">
        <v>42979</v>
      </c>
      <c r="B46" s="9">
        <v>8.33899076334879E-2</v>
      </c>
      <c r="C46" s="10">
        <v>3418320243221.98</v>
      </c>
      <c r="D46" s="6">
        <v>41122883900006.602</v>
      </c>
      <c r="E46" s="6">
        <v>19713221507864.5</v>
      </c>
    </row>
    <row r="47" spans="1:5" ht="16.8" thickBot="1" x14ac:dyDescent="0.4">
      <c r="A47" s="1">
        <v>43009</v>
      </c>
      <c r="B47" s="9">
        <v>8.0551882320272994E-2</v>
      </c>
      <c r="C47" s="10">
        <v>3316485993738.0801</v>
      </c>
      <c r="D47" s="6">
        <v>41481468044833.797</v>
      </c>
      <c r="E47" s="6">
        <v>19690605867982.602</v>
      </c>
    </row>
    <row r="48" spans="1:5" ht="16.8" thickBot="1" x14ac:dyDescent="0.4">
      <c r="A48" s="1">
        <v>43040</v>
      </c>
      <c r="B48" s="9">
        <v>8.4444640845001695E-2</v>
      </c>
      <c r="C48" s="10">
        <v>3488304195807.98</v>
      </c>
      <c r="D48" s="6">
        <v>41694751182979.797</v>
      </c>
      <c r="E48" s="6">
        <v>19799758376354.801</v>
      </c>
    </row>
    <row r="49" spans="1:5" ht="16.8" thickBot="1" x14ac:dyDescent="0.4">
      <c r="A49" s="1">
        <v>43070</v>
      </c>
      <c r="B49" s="9">
        <v>7.6664578823323101E-2</v>
      </c>
      <c r="C49" s="10">
        <v>3149391054163.0898</v>
      </c>
      <c r="D49" s="6">
        <v>42007961066804.602</v>
      </c>
      <c r="E49" s="6">
        <v>19442036588388.398</v>
      </c>
    </row>
    <row r="50" spans="1:5" ht="16.8" thickBot="1" x14ac:dyDescent="0.4">
      <c r="A50" s="1">
        <v>43101</v>
      </c>
      <c r="B50" s="9">
        <v>7.4383887148089703E-2</v>
      </c>
      <c r="C50" s="10">
        <v>3056175243164.7798</v>
      </c>
      <c r="D50" s="6">
        <v>40878534483167.398</v>
      </c>
      <c r="E50" s="6">
        <v>18889724837209.398</v>
      </c>
    </row>
    <row r="51" spans="1:5" ht="16.8" thickBot="1" x14ac:dyDescent="0.4">
      <c r="A51" s="1">
        <v>43132</v>
      </c>
      <c r="B51" s="9">
        <v>7.7104289683624094E-2</v>
      </c>
      <c r="C51" s="10">
        <v>3214246926173.46</v>
      </c>
      <c r="D51" s="6">
        <v>41176043972940.602</v>
      </c>
      <c r="E51" s="6">
        <v>19141639427720.102</v>
      </c>
    </row>
    <row r="52" spans="1:5" ht="16.8" thickBot="1" x14ac:dyDescent="0.4">
      <c r="A52" s="1">
        <v>43160</v>
      </c>
      <c r="B52" s="9">
        <v>8.5477918294292493E-2</v>
      </c>
      <c r="C52" s="10">
        <v>3574033580947.23</v>
      </c>
      <c r="D52" s="6">
        <v>41378635124850.203</v>
      </c>
      <c r="E52" s="6">
        <v>20369544846794.699</v>
      </c>
    </row>
    <row r="53" spans="1:5" ht="16.8" thickBot="1" x14ac:dyDescent="0.4">
      <c r="A53" s="1">
        <v>43191</v>
      </c>
      <c r="B53" s="9">
        <v>7.9499770921021395E-2</v>
      </c>
      <c r="C53" s="10">
        <v>3343860411845.3501</v>
      </c>
      <c r="D53" s="6">
        <v>41685132776066.398</v>
      </c>
      <c r="E53" s="6">
        <v>20094823593830.602</v>
      </c>
    </row>
    <row r="54" spans="1:5" ht="16.8" thickBot="1" x14ac:dyDescent="0.4">
      <c r="A54" s="1">
        <v>43221</v>
      </c>
      <c r="B54" s="9">
        <v>8.6631248166371799E-2</v>
      </c>
      <c r="C54" s="10">
        <v>3662309113427.8301</v>
      </c>
      <c r="D54" s="6">
        <v>42013338039024.398</v>
      </c>
      <c r="E54" s="6">
        <v>20529607848684.602</v>
      </c>
    </row>
    <row r="55" spans="1:5" ht="16.8" thickBot="1" x14ac:dyDescent="0.4">
      <c r="A55" s="1">
        <v>43252</v>
      </c>
      <c r="B55" s="9">
        <v>8.5333798544453804E-2</v>
      </c>
      <c r="C55" s="10">
        <v>3626520721586.2002</v>
      </c>
      <c r="D55" s="6">
        <v>42325922440632.203</v>
      </c>
      <c r="E55" s="6">
        <v>20678408267832.5</v>
      </c>
    </row>
    <row r="56" spans="1:5" ht="16.8" thickBot="1" x14ac:dyDescent="0.4">
      <c r="A56" s="1">
        <v>43282</v>
      </c>
      <c r="B56" s="9">
        <v>8.2098658168659605E-2</v>
      </c>
      <c r="C56" s="10">
        <v>3507070535185.0498</v>
      </c>
      <c r="D56" s="6">
        <v>42550001908144.602</v>
      </c>
      <c r="E56" s="6">
        <v>20692082389445.5</v>
      </c>
    </row>
    <row r="57" spans="1:5" ht="16.8" thickBot="1" x14ac:dyDescent="0.4">
      <c r="A57" s="1">
        <v>43313</v>
      </c>
      <c r="B57" s="9">
        <v>8.0332637074356394E-2</v>
      </c>
      <c r="C57" s="10">
        <v>3430372219710.8799</v>
      </c>
      <c r="D57" s="6">
        <v>42877495019867.5</v>
      </c>
      <c r="E57" s="6">
        <v>20705146393494.102</v>
      </c>
    </row>
    <row r="58" spans="1:5" ht="16.8" thickBot="1" x14ac:dyDescent="0.4">
      <c r="A58" s="1">
        <v>43344</v>
      </c>
      <c r="B58" s="9">
        <v>8.2500606503414703E-2</v>
      </c>
      <c r="C58" s="10">
        <v>3550311427302.1802</v>
      </c>
      <c r="D58" s="6">
        <v>43204224888174.898</v>
      </c>
      <c r="E58" s="6">
        <v>20642847614249.102</v>
      </c>
    </row>
    <row r="59" spans="1:5" ht="16.8" thickBot="1" x14ac:dyDescent="0.4">
      <c r="A59" s="1">
        <v>43374</v>
      </c>
      <c r="B59" s="9">
        <v>8.0242410198488004E-2</v>
      </c>
      <c r="C59" s="10">
        <v>3454101720068.8599</v>
      </c>
      <c r="D59" s="6">
        <v>43506478322781.102</v>
      </c>
      <c r="E59" s="6">
        <v>20672046071675.898</v>
      </c>
    </row>
    <row r="60" spans="1:5" ht="16.8" thickBot="1" x14ac:dyDescent="0.4">
      <c r="A60" s="1">
        <v>43405</v>
      </c>
      <c r="B60" s="9">
        <v>8.2801488634662801E-2</v>
      </c>
      <c r="C60" s="10">
        <v>3591458308489.3701</v>
      </c>
      <c r="D60" s="6">
        <v>43916126528906.297</v>
      </c>
      <c r="E60" s="6">
        <v>20747315955107.5</v>
      </c>
    </row>
    <row r="61" spans="1:5" ht="16.8" thickBot="1" x14ac:dyDescent="0.4">
      <c r="A61" s="1">
        <v>43435</v>
      </c>
      <c r="B61" s="9">
        <v>8.0168582093159302E-2</v>
      </c>
      <c r="C61" s="10">
        <v>3460880566115.48</v>
      </c>
      <c r="D61" s="6">
        <v>44218588885802.297</v>
      </c>
      <c r="E61" s="6">
        <v>20518185483874.199</v>
      </c>
    </row>
    <row r="62" spans="1:5" ht="16.8" thickBot="1" x14ac:dyDescent="0.4">
      <c r="A62" s="1">
        <v>43466</v>
      </c>
      <c r="B62" s="9">
        <v>7.1178873503671899E-2</v>
      </c>
      <c r="C62" s="10">
        <v>3179280591648.8799</v>
      </c>
      <c r="D62" s="6">
        <v>44535702288372.797</v>
      </c>
      <c r="E62" s="6">
        <v>19650365686776.699</v>
      </c>
    </row>
    <row r="63" spans="1:5" ht="16.8" thickBot="1" x14ac:dyDescent="0.4">
      <c r="A63" s="1">
        <v>43497</v>
      </c>
      <c r="B63" s="9">
        <v>7.9527132244573306E-2</v>
      </c>
      <c r="C63" s="10">
        <v>3612511589726.6201</v>
      </c>
      <c r="D63" s="6">
        <v>44923311038729.398</v>
      </c>
      <c r="E63" s="6">
        <v>20803694814538</v>
      </c>
    </row>
    <row r="64" spans="1:5" ht="16.8" thickBot="1" x14ac:dyDescent="0.4">
      <c r="A64" s="1">
        <v>43525</v>
      </c>
      <c r="B64" s="9">
        <v>8.0658009323824997E-2</v>
      </c>
      <c r="C64" s="10">
        <v>3710466305626.0298</v>
      </c>
      <c r="D64" s="6">
        <v>45302712119583.703</v>
      </c>
      <c r="E64" s="6">
        <v>21495849494704.102</v>
      </c>
    </row>
    <row r="65" spans="1:5" ht="16.8" thickBot="1" x14ac:dyDescent="0.4">
      <c r="A65" s="1">
        <v>43556</v>
      </c>
      <c r="B65" s="9">
        <v>7.8634153727876396E-2</v>
      </c>
      <c r="C65" s="10">
        <v>3629908383974.27</v>
      </c>
      <c r="D65" s="6">
        <v>45677978536889.602</v>
      </c>
      <c r="E65" s="6">
        <v>21575874154979.898</v>
      </c>
    </row>
    <row r="66" spans="1:5" ht="16.8" thickBot="1" x14ac:dyDescent="0.4">
      <c r="A66" s="1">
        <v>43586</v>
      </c>
      <c r="B66" s="9">
        <v>7.5294273315212504E-2</v>
      </c>
      <c r="C66" s="10">
        <v>3492883752581.4199</v>
      </c>
      <c r="D66" s="6">
        <v>45991335923330.898</v>
      </c>
      <c r="E66" s="6">
        <v>21557943311651.398</v>
      </c>
    </row>
    <row r="67" spans="1:5" ht="16.8" thickBot="1" x14ac:dyDescent="0.4">
      <c r="A67" s="1">
        <v>43617</v>
      </c>
      <c r="B67" s="9">
        <v>8.2762754612575207E-2</v>
      </c>
      <c r="C67" s="10">
        <v>3862454596400.6201</v>
      </c>
      <c r="D67" s="6">
        <v>46307345219065.398</v>
      </c>
      <c r="E67" s="6">
        <v>21654714643599.102</v>
      </c>
    </row>
    <row r="68" spans="1:5" ht="16.8" thickBot="1" x14ac:dyDescent="0.4">
      <c r="A68" s="1">
        <v>43647</v>
      </c>
      <c r="B68" s="9">
        <v>8.0404843542681501E-2</v>
      </c>
      <c r="C68" s="10">
        <v>3778213205968.6001</v>
      </c>
      <c r="D68" s="6">
        <v>46810085842842.898</v>
      </c>
      <c r="E68" s="6">
        <v>21864704167436.301</v>
      </c>
    </row>
    <row r="69" spans="1:5" ht="16.8" thickBot="1" x14ac:dyDescent="0.4">
      <c r="A69" s="1">
        <v>43678</v>
      </c>
      <c r="B69" s="9">
        <v>8.1606170938207198E-2</v>
      </c>
      <c r="C69" s="10">
        <v>3844247290342.6699</v>
      </c>
      <c r="D69" s="6">
        <v>47131698922398.898</v>
      </c>
      <c r="E69" s="6">
        <v>21957922702520.801</v>
      </c>
    </row>
    <row r="70" spans="1:5" ht="16.8" thickBot="1" x14ac:dyDescent="0.4">
      <c r="A70" s="1">
        <v>43709</v>
      </c>
      <c r="B70" s="9">
        <v>8.7917533128395994E-2</v>
      </c>
      <c r="C70" s="10">
        <v>4164719593399.98</v>
      </c>
      <c r="D70" s="6">
        <v>47519203856558.398</v>
      </c>
      <c r="E70" s="6">
        <v>22221185594258.398</v>
      </c>
    </row>
    <row r="71" spans="1:5" ht="16.8" thickBot="1" x14ac:dyDescent="0.4">
      <c r="A71" s="1">
        <v>43739</v>
      </c>
      <c r="B71" s="9">
        <v>8.2077169465330696E-2</v>
      </c>
      <c r="C71" s="10">
        <v>3893460763593.3198</v>
      </c>
      <c r="D71" s="6">
        <v>47945136311053.602</v>
      </c>
      <c r="E71" s="6">
        <v>22365086901376.102</v>
      </c>
    </row>
    <row r="72" spans="1:5" ht="16.8" thickBot="1" x14ac:dyDescent="0.4">
      <c r="A72" s="1">
        <v>43770</v>
      </c>
      <c r="B72" s="9">
        <v>8.5528379899100199E-2</v>
      </c>
      <c r="C72" s="10">
        <v>4071594951902.4702</v>
      </c>
      <c r="D72" s="6">
        <v>48286367836539</v>
      </c>
      <c r="E72" s="6">
        <v>22483959706574</v>
      </c>
    </row>
    <row r="73" spans="1:5" ht="16.8" thickBot="1" x14ac:dyDescent="0.4">
      <c r="A73" s="1">
        <v>43800</v>
      </c>
      <c r="B73" s="9">
        <v>8.1098994958556894E-2</v>
      </c>
      <c r="C73" s="10">
        <v>3847651471195.9102</v>
      </c>
      <c r="D73" s="6">
        <v>48740665988547.398</v>
      </c>
      <c r="E73" s="6">
        <v>22428268665631.398</v>
      </c>
    </row>
    <row r="74" spans="1:5" ht="16.8" thickBot="1" x14ac:dyDescent="0.4">
      <c r="A74" s="1">
        <v>43831</v>
      </c>
      <c r="B74" s="9">
        <v>8.2106436577667696E-2</v>
      </c>
      <c r="C74" s="10">
        <v>4041609874426.6699</v>
      </c>
      <c r="D74" s="6">
        <v>49230156958946.797</v>
      </c>
      <c r="E74" s="6">
        <v>24980081800937.699</v>
      </c>
    </row>
    <row r="75" spans="1:5" ht="16.8" thickBot="1" x14ac:dyDescent="0.4">
      <c r="A75" s="1">
        <v>43862</v>
      </c>
      <c r="B75" s="9">
        <v>7.53895999756512E-2</v>
      </c>
      <c r="C75" s="10">
        <v>3769879156647.3901</v>
      </c>
      <c r="D75" s="6">
        <v>49625129492498.203</v>
      </c>
      <c r="E75" s="6">
        <v>23895275603596.199</v>
      </c>
    </row>
    <row r="76" spans="1:5" ht="16.8" thickBot="1" x14ac:dyDescent="0.4">
      <c r="A76" s="1">
        <v>43891</v>
      </c>
      <c r="B76" s="9">
        <v>8.6147638550033906E-2</v>
      </c>
      <c r="C76" s="10">
        <v>4375824530074.5601</v>
      </c>
      <c r="D76" s="6">
        <v>50204303423994.797</v>
      </c>
      <c r="E76" s="6">
        <v>25232516529223.801</v>
      </c>
    </row>
    <row r="77" spans="1:5" ht="16.8" thickBot="1" x14ac:dyDescent="0.4">
      <c r="A77" s="1">
        <v>43922</v>
      </c>
      <c r="B77" s="9">
        <v>8.1943369223122994E-2</v>
      </c>
      <c r="C77" s="10">
        <v>4282390284373.5898</v>
      </c>
      <c r="D77" s="6">
        <v>51801112148612.203</v>
      </c>
      <c r="E77" s="6">
        <v>25365514348937.699</v>
      </c>
    </row>
    <row r="78" spans="1:5" ht="16.8" thickBot="1" x14ac:dyDescent="0.4">
      <c r="A78" s="1">
        <v>43952</v>
      </c>
      <c r="B78" s="9">
        <v>8.3363548533069098E-2</v>
      </c>
      <c r="C78" s="10">
        <v>4412865641139.3496</v>
      </c>
      <c r="D78" s="6">
        <v>52360587222121.703</v>
      </c>
      <c r="E78" s="6">
        <v>25403025150448.699</v>
      </c>
    </row>
    <row r="79" spans="1:5" ht="16.8" thickBot="1" x14ac:dyDescent="0.4">
      <c r="A79" s="1">
        <v>43983</v>
      </c>
      <c r="B79" s="9">
        <v>9.3675607317217705E-2</v>
      </c>
      <c r="C79" s="10">
        <v>4990834135615.6504</v>
      </c>
      <c r="D79" s="6">
        <v>52884632100808.398</v>
      </c>
      <c r="E79" s="6">
        <v>26254223514568.301</v>
      </c>
    </row>
    <row r="80" spans="1:5" ht="16.8" thickBot="1" x14ac:dyDescent="0.4">
      <c r="A80" s="1">
        <v>44013</v>
      </c>
      <c r="B80" s="9">
        <v>8.4602376016450306E-2</v>
      </c>
      <c r="C80" s="10">
        <v>4519929090275.5703</v>
      </c>
      <c r="D80" s="6">
        <v>53306083098092.898</v>
      </c>
      <c r="E80" s="6">
        <v>26452850424277.301</v>
      </c>
    </row>
    <row r="81" spans="1:5" ht="16.8" thickBot="1" x14ac:dyDescent="0.4">
      <c r="A81" s="1">
        <v>44044</v>
      </c>
      <c r="B81" s="9">
        <v>8.0635925146536197E-2</v>
      </c>
      <c r="C81" s="10">
        <v>4478074627529.4297</v>
      </c>
      <c r="D81" s="6">
        <v>55325914477915.703</v>
      </c>
      <c r="E81" s="6">
        <v>26347957937104.898</v>
      </c>
    </row>
    <row r="82" spans="1:5" ht="16.8" thickBot="1" x14ac:dyDescent="0.4">
      <c r="A82" s="1">
        <v>44075</v>
      </c>
      <c r="B82" s="9">
        <v>8.0217949523078494E-2</v>
      </c>
      <c r="C82" s="10">
        <v>4478849771111.0898</v>
      </c>
      <c r="D82" s="6">
        <v>55875123820234.898</v>
      </c>
      <c r="E82" s="6">
        <v>26415443642309.699</v>
      </c>
    </row>
    <row r="83" spans="1:5" ht="16.8" thickBot="1" x14ac:dyDescent="0.4">
      <c r="A83" s="1">
        <v>44105</v>
      </c>
      <c r="B83" s="9">
        <v>8.5832351580255206E-2</v>
      </c>
      <c r="C83" s="10">
        <v>4807408468661.3896</v>
      </c>
      <c r="D83" s="6">
        <v>56294754626409.5</v>
      </c>
      <c r="E83" s="6">
        <v>26611522166131.398</v>
      </c>
    </row>
    <row r="84" spans="1:5" ht="16.8" thickBot="1" x14ac:dyDescent="0.4">
      <c r="A84" s="1">
        <v>44136</v>
      </c>
      <c r="B84" s="9">
        <v>8.9952813019809202E-2</v>
      </c>
      <c r="C84" s="10">
        <v>5057471954009.1904</v>
      </c>
      <c r="D84" s="6">
        <v>56820952085701.297</v>
      </c>
      <c r="E84" s="6">
        <v>26867809990646.398</v>
      </c>
    </row>
    <row r="85" spans="1:5" ht="16.8" thickBot="1" x14ac:dyDescent="0.4">
      <c r="A85" s="1">
        <v>44166</v>
      </c>
      <c r="B85" s="9">
        <v>7.6293634208737707E-2</v>
      </c>
      <c r="C85" s="10">
        <v>4270808765760.9902</v>
      </c>
      <c r="D85" s="6">
        <v>57185549684702</v>
      </c>
      <c r="E85" s="6">
        <v>26615525619485.801</v>
      </c>
    </row>
    <row r="86" spans="1:5" ht="16.8" thickBot="1" x14ac:dyDescent="0.4">
      <c r="A86" s="1">
        <v>44197</v>
      </c>
      <c r="B86" s="9">
        <v>8.6982048381505694E-2</v>
      </c>
      <c r="C86" s="10">
        <v>4588298613727.29</v>
      </c>
      <c r="D86" s="6">
        <v>52540447378256.602</v>
      </c>
      <c r="E86" s="6">
        <v>26730489140805.398</v>
      </c>
    </row>
    <row r="87" spans="1:5" ht="16.8" thickBot="1" x14ac:dyDescent="0.4">
      <c r="A87" s="1">
        <v>44228</v>
      </c>
      <c r="B87" s="9">
        <v>8.5261534147713106E-2</v>
      </c>
      <c r="C87" s="10">
        <v>4547613814170.9902</v>
      </c>
      <c r="D87" s="6">
        <v>53002566625286</v>
      </c>
      <c r="E87" s="6">
        <v>27084271440602.699</v>
      </c>
    </row>
    <row r="88" spans="1:5" ht="16.8" thickBot="1" x14ac:dyDescent="0.4">
      <c r="A88" s="1">
        <v>44256</v>
      </c>
      <c r="B88" s="9">
        <v>8.0145828445922607E-2</v>
      </c>
      <c r="C88" s="10">
        <v>4304928150557.46</v>
      </c>
      <c r="D88" s="6">
        <v>53371991897738.797</v>
      </c>
      <c r="E88" s="6">
        <v>27402615188389.102</v>
      </c>
    </row>
    <row r="89" spans="1:5" ht="16.8" thickBot="1" x14ac:dyDescent="0.4">
      <c r="A89" s="1">
        <v>44287</v>
      </c>
      <c r="B89" s="9">
        <v>8.9606001028428098E-2</v>
      </c>
      <c r="C89" s="10">
        <v>4864130575345.2402</v>
      </c>
      <c r="D89" s="6">
        <v>53973241120733.602</v>
      </c>
      <c r="E89" s="6">
        <v>27934203505276.5</v>
      </c>
    </row>
    <row r="90" spans="1:5" ht="16.8" thickBot="1" x14ac:dyDescent="0.4">
      <c r="A90" s="1">
        <v>44317</v>
      </c>
      <c r="B90" s="9">
        <v>8.4869337265318895E-2</v>
      </c>
      <c r="C90" s="10">
        <v>4645632815551.2598</v>
      </c>
      <c r="D90" s="6">
        <v>54410491795969.703</v>
      </c>
      <c r="E90" s="6">
        <v>27752840587947.5</v>
      </c>
    </row>
    <row r="91" spans="1:5" ht="16.8" thickBot="1" x14ac:dyDescent="0.4">
      <c r="A91" s="1">
        <v>44348</v>
      </c>
      <c r="B91" s="9">
        <v>8.0385616175448593E-2</v>
      </c>
      <c r="C91" s="10">
        <v>4424704296848.21</v>
      </c>
      <c r="D91" s="6">
        <v>54813293766009</v>
      </c>
      <c r="E91" s="6">
        <v>27601675977071</v>
      </c>
    </row>
    <row r="92" spans="1:5" ht="16.8" thickBot="1" x14ac:dyDescent="0.4">
      <c r="A92" s="1">
        <v>44378</v>
      </c>
      <c r="B92" s="9">
        <v>8.8776465354854603E-2</v>
      </c>
      <c r="C92" s="10">
        <v>5012733487828.5098</v>
      </c>
      <c r="D92" s="6">
        <v>56660860969889.398</v>
      </c>
      <c r="E92" s="6">
        <v>27916157522570.398</v>
      </c>
    </row>
    <row r="93" spans="1:5" ht="16.8" thickBot="1" x14ac:dyDescent="0.4">
      <c r="A93" s="1">
        <v>44409</v>
      </c>
      <c r="B93" s="9">
        <v>0.103987916775138</v>
      </c>
      <c r="C93" s="10">
        <v>5957590519161.7695</v>
      </c>
      <c r="D93" s="6">
        <v>57361311285720.398</v>
      </c>
      <c r="E93" s="6">
        <v>28788078216780.199</v>
      </c>
    </row>
    <row r="94" spans="1:5" ht="16.8" thickBot="1" x14ac:dyDescent="0.4">
      <c r="A94" s="1">
        <v>44440</v>
      </c>
      <c r="B94" s="9">
        <v>8.2986367835423194E-2</v>
      </c>
      <c r="C94" s="10">
        <v>4777053840733.8301</v>
      </c>
      <c r="D94" s="6">
        <v>57741863087857.398</v>
      </c>
      <c r="E94" s="6">
        <v>28784128406045.199</v>
      </c>
    </row>
    <row r="95" spans="1:5" ht="16.8" thickBot="1" x14ac:dyDescent="0.4">
      <c r="A95" s="1">
        <v>44470</v>
      </c>
      <c r="B95" s="9">
        <v>8.4822745783669801E-2</v>
      </c>
      <c r="C95" s="10">
        <v>5048530997245.5703</v>
      </c>
      <c r="D95" s="6">
        <v>59714495768421.703</v>
      </c>
      <c r="E95" s="6">
        <v>28787758638751.199</v>
      </c>
    </row>
    <row r="96" spans="1:5" ht="16.8" thickBot="1" x14ac:dyDescent="0.4">
      <c r="A96" s="1">
        <v>44501</v>
      </c>
      <c r="B96" s="9">
        <v>8.0467941748662106E-2</v>
      </c>
      <c r="C96" s="10">
        <v>4803039292216.1299</v>
      </c>
      <c r="D96" s="6">
        <v>60090465803878.102</v>
      </c>
      <c r="E96" s="6">
        <v>28782175671106.199</v>
      </c>
    </row>
    <row r="97" spans="1:5" ht="16.8" thickBot="1" x14ac:dyDescent="0.4">
      <c r="A97" s="1">
        <v>44531</v>
      </c>
      <c r="B97" s="9">
        <v>8.4313324922136196E-2</v>
      </c>
      <c r="C97" s="10">
        <v>5077476853939.9902</v>
      </c>
      <c r="D97" s="6">
        <v>60838232292227.602</v>
      </c>
      <c r="E97" s="6">
        <v>28994979530192.602</v>
      </c>
    </row>
    <row r="98" spans="1:5" ht="16.8" thickBot="1" x14ac:dyDescent="0.4">
      <c r="A98" s="1">
        <v>44562</v>
      </c>
      <c r="B98" s="9">
        <v>8.3900326855059201E-2</v>
      </c>
      <c r="C98" s="10">
        <v>4902344074291.7305</v>
      </c>
      <c r="D98" s="6">
        <v>57978990251242.602</v>
      </c>
      <c r="E98" s="6">
        <v>28559977459047.199</v>
      </c>
    </row>
    <row r="99" spans="1:5" ht="16.8" thickBot="1" x14ac:dyDescent="0.4">
      <c r="A99" s="1">
        <v>44593</v>
      </c>
      <c r="B99" s="9">
        <v>8.2814986869446702E-2</v>
      </c>
      <c r="C99" s="10">
        <v>4889984302548.3604</v>
      </c>
      <c r="D99" s="6">
        <v>58503619339747.398</v>
      </c>
      <c r="E99" s="6">
        <v>29041297253280.398</v>
      </c>
    </row>
    <row r="100" spans="1:5" ht="16.8" thickBot="1" x14ac:dyDescent="0.4">
      <c r="A100" s="1">
        <v>44621</v>
      </c>
      <c r="B100" s="9">
        <v>9.2095894696996902E-2</v>
      </c>
      <c r="C100" s="10">
        <v>5472900069208.1396</v>
      </c>
      <c r="D100" s="6">
        <v>58969971438008.297</v>
      </c>
      <c r="E100" s="6">
        <v>31392688641585.699</v>
      </c>
    </row>
    <row r="101" spans="1:5" ht="16.8" thickBot="1" x14ac:dyDescent="0.4">
      <c r="A101" s="1">
        <v>44652</v>
      </c>
      <c r="B101" s="9">
        <v>9.6089410101591E-2</v>
      </c>
      <c r="C101" s="10">
        <v>5828521786505.7002</v>
      </c>
      <c r="D101" s="6">
        <v>60379211738198.102</v>
      </c>
      <c r="E101" s="6">
        <v>32158331186439.102</v>
      </c>
    </row>
    <row r="102" spans="1:5" ht="16.8" thickBot="1" x14ac:dyDescent="0.4">
      <c r="A102" s="1">
        <v>44682</v>
      </c>
      <c r="B102" s="9">
        <v>8.4365374426336806E-2</v>
      </c>
      <c r="C102" s="10">
        <v>5214724518150.04</v>
      </c>
      <c r="D102" s="6">
        <v>61765783710954.398</v>
      </c>
      <c r="E102" s="6">
        <v>31973537804566</v>
      </c>
    </row>
    <row r="103" spans="1:5" ht="16.8" thickBot="1" x14ac:dyDescent="0.4">
      <c r="A103" s="1">
        <v>44713</v>
      </c>
      <c r="B103" s="9">
        <v>8.7244698622566702E-2</v>
      </c>
      <c r="C103" s="10">
        <v>5466097611269.7598</v>
      </c>
      <c r="D103" s="6">
        <v>62441511631827</v>
      </c>
      <c r="E103" s="6">
        <v>32186975425935.801</v>
      </c>
    </row>
    <row r="104" spans="1:5" ht="16.8" thickBot="1" x14ac:dyDescent="0.4">
      <c r="A104" s="1">
        <v>44743</v>
      </c>
      <c r="B104" s="9">
        <v>9.5643971008620404E-2</v>
      </c>
      <c r="C104" s="10">
        <v>6171823302733.21</v>
      </c>
      <c r="D104" s="6">
        <v>64908394073320.602</v>
      </c>
      <c r="E104" s="6">
        <v>32684660558688.898</v>
      </c>
    </row>
    <row r="105" spans="1:5" ht="16.8" thickBot="1" x14ac:dyDescent="0.4">
      <c r="A105" s="1">
        <v>44774</v>
      </c>
      <c r="B105" s="9">
        <v>8.4882039139785107E-2</v>
      </c>
      <c r="C105" s="10">
        <v>5496249877890.6602</v>
      </c>
      <c r="D105" s="6">
        <v>65416670265857.703</v>
      </c>
      <c r="E105" s="6">
        <v>32762586751872.699</v>
      </c>
    </row>
    <row r="106" spans="1:5" ht="16.8" thickBot="1" x14ac:dyDescent="0.4">
      <c r="A106" s="1">
        <v>44805</v>
      </c>
      <c r="B106" s="9">
        <v>8.6881273282872401E-2</v>
      </c>
      <c r="C106" s="10">
        <v>5701184560167.6904</v>
      </c>
      <c r="D106" s="6">
        <v>66092345958243.703</v>
      </c>
      <c r="E106" s="6">
        <v>32934308716922.602</v>
      </c>
    </row>
    <row r="107" spans="1:5" ht="16.8" thickBot="1" x14ac:dyDescent="0.4">
      <c r="A107" s="1">
        <v>44835</v>
      </c>
      <c r="B107" s="9">
        <v>8.7062092871059996E-2</v>
      </c>
      <c r="C107" s="10">
        <v>5783137459807.3301</v>
      </c>
      <c r="D107" s="6">
        <v>66750038605933.703</v>
      </c>
      <c r="E107" s="6">
        <v>32942467080044.398</v>
      </c>
    </row>
    <row r="108" spans="1:5" ht="16.8" thickBot="1" x14ac:dyDescent="0.4">
      <c r="A108" s="1">
        <v>44866</v>
      </c>
      <c r="B108" s="9">
        <v>8.66658018223707E-2</v>
      </c>
      <c r="C108" s="10">
        <v>5848575534289.2598</v>
      </c>
      <c r="D108" s="6">
        <v>67521025882970.398</v>
      </c>
      <c r="E108" s="6">
        <v>33131924156835.398</v>
      </c>
    </row>
    <row r="109" spans="1:5" ht="16.8" thickBot="1" x14ac:dyDescent="0.4">
      <c r="A109" s="1">
        <v>44896</v>
      </c>
      <c r="B109" s="9">
        <v>9.5273158671379699E-2</v>
      </c>
      <c r="C109" s="10">
        <v>6807349406388.5303</v>
      </c>
      <c r="D109" s="6">
        <v>71491300101021.406</v>
      </c>
      <c r="E109" s="6">
        <v>34111756320237.5</v>
      </c>
    </row>
    <row r="110" spans="1:5" ht="16.8" thickBot="1" x14ac:dyDescent="0.4">
      <c r="A110" s="1">
        <v>44927</v>
      </c>
      <c r="B110" s="9">
        <v>9.3285794837066699E-2</v>
      </c>
      <c r="C110" s="10">
        <v>6451919769075.7695</v>
      </c>
      <c r="D110" s="6">
        <v>68574720843600.203</v>
      </c>
      <c r="E110" s="6">
        <v>38715436499694.203</v>
      </c>
    </row>
    <row r="111" spans="1:5" ht="16.8" thickBot="1" x14ac:dyDescent="0.4">
      <c r="A111" s="1">
        <v>44958</v>
      </c>
      <c r="B111" s="9">
        <v>8.7860510244941195E-2</v>
      </c>
      <c r="C111" s="10">
        <v>6155994000636.3301</v>
      </c>
      <c r="D111" s="6">
        <v>69301094827630.102</v>
      </c>
      <c r="E111" s="6">
        <v>37800682735022.5</v>
      </c>
    </row>
    <row r="112" spans="1:5" ht="16.8" thickBot="1" x14ac:dyDescent="0.4">
      <c r="A112" s="1">
        <v>44986</v>
      </c>
      <c r="B112" s="9">
        <v>7.8855675906151695E-2</v>
      </c>
      <c r="C112" s="10">
        <v>5593345909859.4805</v>
      </c>
      <c r="D112" s="6">
        <v>70088811418700.898</v>
      </c>
      <c r="E112" s="6">
        <v>37271630586849.797</v>
      </c>
    </row>
    <row r="113" spans="1:5" ht="16.8" thickBot="1" x14ac:dyDescent="0.4">
      <c r="A113" s="1">
        <v>45017</v>
      </c>
      <c r="B113" s="9">
        <v>8.5490137262282495E-2</v>
      </c>
      <c r="C113" s="10">
        <v>6071178363432.6504</v>
      </c>
      <c r="D113" s="6">
        <v>70633281265671.406</v>
      </c>
      <c r="E113" s="6">
        <v>36374861943734.898</v>
      </c>
    </row>
    <row r="114" spans="1:5" ht="16.8" thickBot="1" x14ac:dyDescent="0.4">
      <c r="A114" s="1">
        <v>45047</v>
      </c>
      <c r="B114" s="9">
        <v>9.0517139213684997E-2</v>
      </c>
      <c r="C114" s="10">
        <v>6447432144013.2002</v>
      </c>
      <c r="D114" s="6">
        <v>71364388270343.5</v>
      </c>
      <c r="E114" s="6">
        <v>36961153886064.898</v>
      </c>
    </row>
    <row r="115" spans="1:5" ht="16.8" thickBot="1" x14ac:dyDescent="0.4">
      <c r="A115" s="1">
        <v>45078</v>
      </c>
      <c r="B115" s="9">
        <v>8.1399250157654202E-2</v>
      </c>
      <c r="C115" s="10">
        <v>5879554868228.6797</v>
      </c>
      <c r="D115" s="6">
        <v>72114230743270.094</v>
      </c>
      <c r="E115" s="6">
        <v>36745918242060.602</v>
      </c>
    </row>
    <row r="116" spans="1:5" ht="16.8" thickBot="1" x14ac:dyDescent="0.4">
      <c r="A116" s="1">
        <v>45108</v>
      </c>
      <c r="B116" s="9">
        <v>8.3201544521322807E-2</v>
      </c>
      <c r="C116" s="10">
        <v>5999630070010.04</v>
      </c>
      <c r="D116" s="6">
        <v>72677789672366.297</v>
      </c>
      <c r="E116" s="6">
        <v>36406115031958</v>
      </c>
    </row>
    <row r="117" spans="1:5" ht="16.8" thickBot="1" x14ac:dyDescent="0.4">
      <c r="A117" s="1">
        <v>45139</v>
      </c>
      <c r="B117" s="9">
        <v>8.1149193717019896E-2</v>
      </c>
      <c r="C117" s="10">
        <v>5863688693067.0801</v>
      </c>
      <c r="D117" s="6">
        <v>73387684696962.406</v>
      </c>
      <c r="E117" s="6">
        <v>36301923841770.703</v>
      </c>
    </row>
    <row r="118" spans="1:5" ht="16.8" thickBot="1" x14ac:dyDescent="0.4">
      <c r="A118" s="1">
        <v>45170</v>
      </c>
      <c r="B118" s="9">
        <v>8.8597394820468703E-2</v>
      </c>
      <c r="C118" s="10">
        <v>6517037711379.96</v>
      </c>
      <c r="D118" s="6">
        <v>74200468263682.203</v>
      </c>
      <c r="E118" s="6">
        <v>36498882505941</v>
      </c>
    </row>
    <row r="119" spans="1:5" ht="16.8" thickBot="1" x14ac:dyDescent="0.4">
      <c r="A119" s="1">
        <v>45200</v>
      </c>
      <c r="B119" s="9">
        <v>8.3961386675261498E-2</v>
      </c>
      <c r="C119" s="10">
        <v>6322781914601.6396</v>
      </c>
      <c r="D119" s="6">
        <v>76162012943221.406</v>
      </c>
      <c r="E119" s="6">
        <v>36570460370182.5</v>
      </c>
    </row>
    <row r="120" spans="1:5" ht="16.8" thickBot="1" x14ac:dyDescent="0.4">
      <c r="A120" s="1">
        <v>45231</v>
      </c>
      <c r="B120" s="9">
        <v>8.5228884661221693E-2</v>
      </c>
      <c r="C120" s="10">
        <v>6453154068452.7402</v>
      </c>
      <c r="D120" s="6">
        <v>75786841451777</v>
      </c>
      <c r="E120" s="6">
        <v>36758760516479.203</v>
      </c>
    </row>
    <row r="121" spans="1:5" ht="16.8" thickBot="1" x14ac:dyDescent="0.4">
      <c r="A121" s="1">
        <v>45261</v>
      </c>
      <c r="B121" s="9">
        <v>9.1074203525746494E-2</v>
      </c>
      <c r="C121" s="10">
        <v>7007036509396.5596</v>
      </c>
      <c r="D121" s="6">
        <v>76610679353873.906</v>
      </c>
      <c r="E121" s="6">
        <v>37145873441284</v>
      </c>
    </row>
    <row r="122" spans="1:5" ht="16.8" thickBot="1" x14ac:dyDescent="0.4">
      <c r="A122" s="1">
        <v>45292</v>
      </c>
      <c r="B122" s="9">
        <v>7.5616616895576694E-2</v>
      </c>
      <c r="C122" s="10">
        <v>6246356248077</v>
      </c>
      <c r="D122" s="6">
        <v>81674951453978</v>
      </c>
      <c r="E122" s="6">
        <v>38606675703404.102</v>
      </c>
    </row>
    <row r="123" spans="1:5" ht="16.8" thickBot="1" x14ac:dyDescent="0.4">
      <c r="A123" s="1">
        <v>45323</v>
      </c>
      <c r="B123" s="9">
        <v>8.9780723172706398E-2</v>
      </c>
      <c r="C123" s="10">
        <v>7497572280869.6201</v>
      </c>
      <c r="D123" s="6">
        <v>82427121006316.297</v>
      </c>
      <c r="E123" s="6">
        <v>43306293721594.898</v>
      </c>
    </row>
    <row r="124" spans="1:5" ht="16.8" thickBot="1" x14ac:dyDescent="0.4">
      <c r="A124" s="1">
        <v>45352</v>
      </c>
      <c r="B124" s="9">
        <v>8.11855057101869E-2</v>
      </c>
      <c r="C124" s="10">
        <v>6870803947230.4404</v>
      </c>
      <c r="D124" s="6">
        <v>83382489736454.906</v>
      </c>
      <c r="E124" s="6">
        <v>42860333830776.703</v>
      </c>
    </row>
    <row r="125" spans="1:5" ht="16.8" thickBot="1" x14ac:dyDescent="0.4">
      <c r="A125" s="1">
        <v>45383</v>
      </c>
      <c r="B125" s="9">
        <v>8.0754984822188805E-2</v>
      </c>
      <c r="C125" s="10">
        <v>6816728183431.6797</v>
      </c>
      <c r="D125" s="6">
        <v>84125865786003.406</v>
      </c>
      <c r="E125" s="6">
        <v>42257313971091.102</v>
      </c>
    </row>
    <row r="126" spans="1:5" ht="16.8" thickBot="1" x14ac:dyDescent="0.4">
      <c r="A126" s="1">
        <v>45413</v>
      </c>
      <c r="B126" s="9">
        <v>8.5157455807396198E-2</v>
      </c>
      <c r="C126" s="10">
        <v>7219509619482.46</v>
      </c>
      <c r="D126" s="6">
        <v>84940081108287.297</v>
      </c>
      <c r="E126" s="6">
        <v>42639852959514.102</v>
      </c>
    </row>
    <row r="127" spans="1:5" ht="16.8" thickBot="1" x14ac:dyDescent="0.4">
      <c r="A127" s="1">
        <v>45444</v>
      </c>
      <c r="B127" s="9">
        <v>8.5101471077041801E-2</v>
      </c>
      <c r="C127" s="10">
        <v>7314732318588.4004</v>
      </c>
      <c r="D127" s="6">
        <v>85684734507165</v>
      </c>
      <c r="E127" s="6">
        <v>42509195534997.398</v>
      </c>
    </row>
    <row r="128" spans="1:5" ht="16.8" thickBot="1" x14ac:dyDescent="0.4">
      <c r="A128" s="1">
        <v>45474</v>
      </c>
      <c r="B128" s="9">
        <v>7.9508405070431998E-2</v>
      </c>
      <c r="C128" s="10">
        <v>6844149900510.7803</v>
      </c>
      <c r="D128" s="6">
        <v>86657483892047.703</v>
      </c>
      <c r="E128" s="6">
        <v>42394134973313.797</v>
      </c>
    </row>
    <row r="129" spans="1:5" ht="16.8" thickBot="1" x14ac:dyDescent="0.4">
      <c r="A129" s="1">
        <v>45505</v>
      </c>
      <c r="B129" s="9">
        <v>7.8077882617626604E-2</v>
      </c>
      <c r="C129" s="10">
        <v>6757964683623.4297</v>
      </c>
      <c r="D129" s="6">
        <v>87496222476240.906</v>
      </c>
      <c r="E129" s="6">
        <v>42075385292805.203</v>
      </c>
    </row>
    <row r="130" spans="1:5" ht="16.8" thickBot="1" x14ac:dyDescent="0.4">
      <c r="A130" s="1">
        <v>45536</v>
      </c>
      <c r="B130" s="9">
        <v>8.7595292378169307E-2</v>
      </c>
      <c r="C130" s="10">
        <v>7683030870066.2002</v>
      </c>
      <c r="D130" s="6">
        <v>88308795149280.297</v>
      </c>
      <c r="E130" s="6">
        <v>42387392009514.398</v>
      </c>
    </row>
    <row r="131" spans="1:5" ht="16.8" thickBot="1" x14ac:dyDescent="0.4">
      <c r="A131" s="1">
        <v>45566</v>
      </c>
      <c r="B131" s="9">
        <v>9.0402448621115503E-2</v>
      </c>
      <c r="C131" s="10">
        <v>7925026761820.0703</v>
      </c>
      <c r="D131" s="6">
        <v>89054625143167.406</v>
      </c>
      <c r="E131" s="6">
        <v>42981396882385.203</v>
      </c>
    </row>
    <row r="132" spans="1:5" ht="16.8" thickBot="1" x14ac:dyDescent="0.4">
      <c r="A132" s="1">
        <v>45597</v>
      </c>
      <c r="B132" s="9">
        <v>8.7605457417919905E-2</v>
      </c>
      <c r="C132" s="10">
        <v>7848959214068.7695</v>
      </c>
      <c r="D132" s="6">
        <v>89903924390736.5</v>
      </c>
      <c r="E132" s="6">
        <v>43222592714964.102</v>
      </c>
    </row>
    <row r="133" spans="1:5" ht="16.8" thickBot="1" x14ac:dyDescent="0.4">
      <c r="A133" s="1">
        <v>45627</v>
      </c>
      <c r="B133" s="9">
        <v>9.1657743398141298E-2</v>
      </c>
      <c r="C133" s="10">
        <v>8338102826680.1699</v>
      </c>
      <c r="D133" s="6">
        <v>90806330913109.797</v>
      </c>
      <c r="E133" s="6">
        <v>43994205393982.5</v>
      </c>
    </row>
    <row r="134" spans="1:5" ht="16.8" thickBot="1" x14ac:dyDescent="0.4">
      <c r="A134" s="1">
        <v>45658</v>
      </c>
      <c r="B134" s="9">
        <v>9.5265747161119907E-2</v>
      </c>
      <c r="C134" s="10">
        <v>8852480350273.5098</v>
      </c>
      <c r="D134" s="6">
        <v>91749823814495.5</v>
      </c>
      <c r="E134" s="6">
        <v>54714492189796.297</v>
      </c>
    </row>
    <row r="135" spans="1:5" ht="16.8" thickBot="1" x14ac:dyDescent="0.4">
      <c r="A135" s="1">
        <v>45689</v>
      </c>
      <c r="B135" s="9">
        <v>8.9493682975044897E-2</v>
      </c>
      <c r="C135" s="10">
        <v>8407643806193.8096</v>
      </c>
      <c r="D135" s="6">
        <v>92648715874198</v>
      </c>
      <c r="E135" s="6">
        <v>52453117085008.102</v>
      </c>
    </row>
    <row r="136" spans="1:5" ht="16.8" thickBot="1" x14ac:dyDescent="0.4">
      <c r="A136" s="1">
        <v>45717</v>
      </c>
      <c r="B136" s="9">
        <v>8.2605180837207207E-2</v>
      </c>
      <c r="C136" s="10">
        <v>7790663108058.9199</v>
      </c>
      <c r="D136" s="6">
        <v>93365424528782</v>
      </c>
      <c r="E136" s="6">
        <v>50738207483112.297</v>
      </c>
    </row>
    <row r="137" spans="1:5" ht="16.8" thickBot="1" x14ac:dyDescent="0.4">
      <c r="A137" s="1">
        <v>45748</v>
      </c>
      <c r="B137" s="9">
        <v>8.7523705241935201E-2</v>
      </c>
      <c r="C137" s="10">
        <v>8278564738437.8096</v>
      </c>
      <c r="D137" s="6">
        <v>94400931553088.203</v>
      </c>
      <c r="E137" s="6">
        <v>50403214527995.5</v>
      </c>
    </row>
    <row r="138" spans="1:5" ht="16.8" thickBot="1" x14ac:dyDescent="0.4">
      <c r="A138" s="1">
        <v>45778</v>
      </c>
      <c r="B138" s="9">
        <v>8.2150783392493001E-2</v>
      </c>
      <c r="C138" s="10">
        <v>7819094354271.9697</v>
      </c>
      <c r="D138" s="6">
        <v>95314910131200.594</v>
      </c>
      <c r="E138" s="6">
        <v>49734142861650.703</v>
      </c>
    </row>
    <row r="139" spans="1:5" ht="16.8" thickBot="1" x14ac:dyDescent="0.4">
      <c r="A139" s="1">
        <v>45809</v>
      </c>
      <c r="B139" s="9">
        <v>8.4867935529706395E-2</v>
      </c>
      <c r="C139" s="10">
        <v>8182743961262.0498</v>
      </c>
      <c r="D139" s="6">
        <v>96268841567738</v>
      </c>
      <c r="E139" s="6">
        <v>49479214539153.602</v>
      </c>
    </row>
    <row r="140" spans="1:5" ht="16.2" x14ac:dyDescent="0.35">
      <c r="A140" s="1">
        <v>45839</v>
      </c>
      <c r="B140" s="9">
        <v>9.0124981281222302E-2</v>
      </c>
      <c r="C140" s="10">
        <v>8723612948668.8398</v>
      </c>
      <c r="D140" s="6">
        <v>97225996249102.297</v>
      </c>
      <c r="E140" s="6">
        <v>50042377715175.797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6"/>
  <sheetViews>
    <sheetView topLeftCell="A133" workbookViewId="0">
      <selection activeCell="B148" sqref="B148"/>
    </sheetView>
  </sheetViews>
  <sheetFormatPr defaultRowHeight="14.4" x14ac:dyDescent="0.3"/>
  <cols>
    <col min="1" max="1" width="10.109375" bestFit="1" customWidth="1"/>
    <col min="2" max="2" width="20.77734375" customWidth="1"/>
    <col min="3" max="3" width="19.6640625" bestFit="1" customWidth="1"/>
    <col min="4" max="4" width="33.77734375" customWidth="1"/>
    <col min="5" max="5" width="19" bestFit="1" customWidth="1"/>
  </cols>
  <sheetData>
    <row r="1" spans="1:5" ht="47.4" thickBot="1" x14ac:dyDescent="0.35">
      <c r="A1" s="4" t="s">
        <v>10</v>
      </c>
      <c r="B1" s="7" t="s">
        <v>9</v>
      </c>
      <c r="C1" s="7" t="s">
        <v>8</v>
      </c>
      <c r="D1" s="11" t="s">
        <v>4</v>
      </c>
      <c r="E1" s="11" t="s">
        <v>5</v>
      </c>
    </row>
    <row r="2" spans="1:5" ht="16.8" thickBot="1" x14ac:dyDescent="0.4">
      <c r="A2" s="1">
        <v>41640</v>
      </c>
      <c r="B2" s="9">
        <v>5.8379585845818802E-2</v>
      </c>
      <c r="C2" s="10">
        <v>1894711442286.8601</v>
      </c>
      <c r="D2" s="6">
        <v>32207717768137.199</v>
      </c>
      <c r="E2" s="6">
        <v>11435376960672.9</v>
      </c>
    </row>
    <row r="3" spans="1:5" ht="16.8" thickBot="1" x14ac:dyDescent="0.4">
      <c r="A3" s="1">
        <v>41671</v>
      </c>
      <c r="B3" s="9">
        <v>9.5673784018701302E-2</v>
      </c>
      <c r="C3" s="10">
        <v>3128285858718.77</v>
      </c>
      <c r="D3" s="6">
        <v>32448815966308.102</v>
      </c>
      <c r="E3" s="6">
        <v>15598774764239.9</v>
      </c>
    </row>
    <row r="4" spans="1:5" ht="16.8" thickBot="1" x14ac:dyDescent="0.4">
      <c r="A4" s="1">
        <v>41699</v>
      </c>
      <c r="B4" s="9">
        <v>7.9333809387746507E-2</v>
      </c>
      <c r="C4" s="10">
        <v>2608198324025.8398</v>
      </c>
      <c r="D4" s="6">
        <v>32676232019173.102</v>
      </c>
      <c r="E4" s="6">
        <v>15763245876095</v>
      </c>
    </row>
    <row r="5" spans="1:5" ht="16.8" thickBot="1" x14ac:dyDescent="0.4">
      <c r="A5" s="1">
        <v>41730</v>
      </c>
      <c r="B5" s="9">
        <v>7.8661190290802693E-2</v>
      </c>
      <c r="C5" s="10">
        <v>2612561563700.98</v>
      </c>
      <c r="D5" s="6">
        <v>32936396427888.5</v>
      </c>
      <c r="E5" s="6">
        <v>15747330590369.5</v>
      </c>
    </row>
    <row r="6" spans="1:5" ht="16.8" thickBot="1" x14ac:dyDescent="0.4">
      <c r="A6" s="1">
        <v>41760</v>
      </c>
      <c r="B6" s="9">
        <v>8.0384445414080297E-2</v>
      </c>
      <c r="C6" s="10">
        <v>2691649521863.6001</v>
      </c>
      <c r="D6" s="6">
        <v>33157733689330.699</v>
      </c>
      <c r="E6" s="6">
        <v>15856625808011.4</v>
      </c>
    </row>
    <row r="7" spans="1:5" ht="16.8" thickBot="1" x14ac:dyDescent="0.4">
      <c r="A7" s="1">
        <v>41791</v>
      </c>
      <c r="B7" s="9">
        <v>8.0209605641749601E-2</v>
      </c>
      <c r="C7" s="10">
        <v>2698202272680.0498</v>
      </c>
      <c r="D7" s="6">
        <v>33397265336829.898</v>
      </c>
      <c r="E7" s="6">
        <v>15912826007103.9</v>
      </c>
    </row>
    <row r="8" spans="1:5" ht="16.8" thickBot="1" x14ac:dyDescent="0.4">
      <c r="A8" s="1">
        <v>41821</v>
      </c>
      <c r="B8" s="9">
        <v>8.0184396144570402E-2</v>
      </c>
      <c r="C8" s="10">
        <v>2701399662792.2002</v>
      </c>
      <c r="D8" s="6">
        <v>33643513970584.801</v>
      </c>
      <c r="E8" s="6">
        <v>15944574640514.4</v>
      </c>
    </row>
    <row r="9" spans="1:5" ht="16.8" thickBot="1" x14ac:dyDescent="0.4">
      <c r="A9" s="1">
        <v>41852</v>
      </c>
      <c r="B9" s="9">
        <v>8.3254926824489595E-2</v>
      </c>
      <c r="C9" s="10">
        <v>2819508388619.8701</v>
      </c>
      <c r="D9" s="6">
        <v>33888808428472.898</v>
      </c>
      <c r="E9" s="6">
        <v>15993082798215.801</v>
      </c>
    </row>
    <row r="10" spans="1:5" ht="16.8" thickBot="1" x14ac:dyDescent="0.4">
      <c r="A10" s="1">
        <v>41883</v>
      </c>
      <c r="B10" s="9">
        <v>8.25789127991991E-2</v>
      </c>
      <c r="C10" s="10">
        <v>2808834979206.4199</v>
      </c>
      <c r="D10" s="6">
        <v>34139625735598.602</v>
      </c>
      <c r="E10" s="6">
        <v>16047821306952.4</v>
      </c>
    </row>
    <row r="11" spans="1:5" ht="16.8" thickBot="1" x14ac:dyDescent="0.4">
      <c r="A11" s="1">
        <v>41913</v>
      </c>
      <c r="B11" s="9">
        <v>8.6760275972860595E-2</v>
      </c>
      <c r="C11" s="10">
        <v>2954939525984.48</v>
      </c>
      <c r="D11" s="6">
        <v>34383952710074.801</v>
      </c>
      <c r="E11" s="6">
        <v>16104368499859.5</v>
      </c>
    </row>
    <row r="12" spans="1:5" ht="16.8" thickBot="1" x14ac:dyDescent="0.4">
      <c r="A12" s="1">
        <v>41944</v>
      </c>
      <c r="B12" s="9">
        <v>7.8259227591225694E-2</v>
      </c>
      <c r="C12" s="10">
        <v>2674844822075.2598</v>
      </c>
      <c r="D12" s="6">
        <v>34578180939684.602</v>
      </c>
      <c r="E12" s="6">
        <v>16082548480227.199</v>
      </c>
    </row>
    <row r="13" spans="1:5" ht="16.8" thickBot="1" x14ac:dyDescent="0.4">
      <c r="A13" s="1">
        <v>41974</v>
      </c>
      <c r="B13" s="9">
        <v>8.9026259460649501E-2</v>
      </c>
      <c r="C13" s="10">
        <v>3106813925878.8101</v>
      </c>
      <c r="D13" s="6">
        <v>35621573242105.203</v>
      </c>
      <c r="E13" s="6">
        <v>16167298390715.301</v>
      </c>
    </row>
    <row r="14" spans="1:5" ht="16.8" thickBot="1" x14ac:dyDescent="0.4">
      <c r="A14" s="1">
        <v>42005</v>
      </c>
      <c r="B14" s="9">
        <v>9.0507669567015794E-2</v>
      </c>
      <c r="C14" s="10">
        <v>3278632431601.3799</v>
      </c>
      <c r="D14" s="6">
        <v>35876314218636.398</v>
      </c>
      <c r="E14" s="6">
        <v>19103780733584.398</v>
      </c>
    </row>
    <row r="15" spans="1:5" ht="16.8" thickBot="1" x14ac:dyDescent="0.4">
      <c r="A15" s="1">
        <v>42036</v>
      </c>
      <c r="B15" s="9">
        <v>8.6799714054401803E-2</v>
      </c>
      <c r="C15" s="10">
        <v>3161181150358.2202</v>
      </c>
      <c r="D15" s="6">
        <v>36117539255911.898</v>
      </c>
      <c r="E15" s="6">
        <v>19051322862840.602</v>
      </c>
    </row>
    <row r="16" spans="1:5" ht="16.8" thickBot="1" x14ac:dyDescent="0.4">
      <c r="A16" s="1">
        <v>42064</v>
      </c>
      <c r="B16" s="9">
        <v>7.7315267178091604E-2</v>
      </c>
      <c r="C16" s="10">
        <v>2830137827129.6899</v>
      </c>
      <c r="D16" s="6">
        <v>36397596453769</v>
      </c>
      <c r="E16" s="6">
        <v>18735031733633.398</v>
      </c>
    </row>
    <row r="17" spans="1:5" ht="16.8" thickBot="1" x14ac:dyDescent="0.4">
      <c r="A17" s="1">
        <v>42095</v>
      </c>
      <c r="B17" s="9">
        <v>8.9044827877414107E-2</v>
      </c>
      <c r="C17" s="10">
        <v>3245706624114.2402</v>
      </c>
      <c r="D17" s="6">
        <v>36200432596499.898</v>
      </c>
      <c r="E17" s="6">
        <v>18889589234857.801</v>
      </c>
    </row>
    <row r="18" spans="1:5" ht="16.8" thickBot="1" x14ac:dyDescent="0.4">
      <c r="A18" s="1">
        <v>42125</v>
      </c>
      <c r="B18" s="9">
        <v>8.0558665294347603E-2</v>
      </c>
      <c r="C18" s="10">
        <v>2968887567441.9502</v>
      </c>
      <c r="D18" s="6">
        <v>36492245392292.398</v>
      </c>
      <c r="E18" s="6">
        <v>18681276125122.898</v>
      </c>
    </row>
    <row r="19" spans="1:5" ht="16.8" thickBot="1" x14ac:dyDescent="0.4">
      <c r="A19" s="1">
        <v>42156</v>
      </c>
      <c r="B19" s="9">
        <v>8.0074392495774596E-2</v>
      </c>
      <c r="C19" s="10">
        <v>2958793381734.0801</v>
      </c>
      <c r="D19" s="6">
        <v>36743466524042.797</v>
      </c>
      <c r="E19" s="6">
        <v>18580056399351.301</v>
      </c>
    </row>
    <row r="20" spans="1:5" ht="16.8" thickBot="1" x14ac:dyDescent="0.4">
      <c r="A20" s="1">
        <v>42186</v>
      </c>
      <c r="B20" s="9">
        <v>8.5388070674853198E-2</v>
      </c>
      <c r="C20" s="10">
        <v>3160113936745.0698</v>
      </c>
      <c r="D20" s="6">
        <v>37003228667441.203</v>
      </c>
      <c r="E20" s="6">
        <v>18613044709063.102</v>
      </c>
    </row>
    <row r="21" spans="1:5" ht="16.8" thickBot="1" x14ac:dyDescent="0.4">
      <c r="A21" s="1">
        <v>42217</v>
      </c>
      <c r="B21" s="9">
        <v>8.2629983744846106E-2</v>
      </c>
      <c r="C21" s="10">
        <v>3072275607652.5</v>
      </c>
      <c r="D21" s="6">
        <v>37246384832055.898</v>
      </c>
      <c r="E21" s="6">
        <v>18499514971083.301</v>
      </c>
    </row>
    <row r="22" spans="1:5" ht="16.8" thickBot="1" x14ac:dyDescent="0.4">
      <c r="A22" s="1">
        <v>42248</v>
      </c>
      <c r="B22" s="9">
        <v>7.54576790116087E-2</v>
      </c>
      <c r="C22" s="10">
        <v>2815732487166.0601</v>
      </c>
      <c r="D22" s="6">
        <v>37511821436573.203</v>
      </c>
      <c r="E22" s="6">
        <v>18383260089667.801</v>
      </c>
    </row>
    <row r="23" spans="1:5" ht="16.8" thickBot="1" x14ac:dyDescent="0.4">
      <c r="A23" s="1">
        <v>42278</v>
      </c>
      <c r="B23" s="9">
        <v>7.8923213612904497E-2</v>
      </c>
      <c r="C23" s="10">
        <v>2954182895239.1099</v>
      </c>
      <c r="D23" s="6">
        <v>37794242608566.398</v>
      </c>
      <c r="E23" s="6">
        <v>18316138968078.602</v>
      </c>
    </row>
    <row r="24" spans="1:5" ht="16.8" thickBot="1" x14ac:dyDescent="0.4">
      <c r="A24" s="1">
        <v>42309</v>
      </c>
      <c r="B24" s="9">
        <v>7.6992660250402106E-2</v>
      </c>
      <c r="C24" s="10">
        <v>2906999707649.1099</v>
      </c>
      <c r="D24" s="6">
        <v>38096404362681.898</v>
      </c>
      <c r="E24" s="6">
        <v>18294166301917.102</v>
      </c>
    </row>
    <row r="25" spans="1:5" ht="16.8" thickBot="1" x14ac:dyDescent="0.4">
      <c r="A25" s="1">
        <v>42339</v>
      </c>
      <c r="B25" s="9">
        <v>7.6440848379227599E-2</v>
      </c>
      <c r="C25" s="10">
        <v>2877684099130.5098</v>
      </c>
      <c r="D25" s="6">
        <v>38395914618113</v>
      </c>
      <c r="E25" s="6">
        <v>18136363850939.301</v>
      </c>
    </row>
    <row r="26" spans="1:5" ht="16.8" thickBot="1" x14ac:dyDescent="0.4">
      <c r="A26" s="1">
        <v>42370</v>
      </c>
      <c r="B26" s="9">
        <v>6.2247149631624699E-2</v>
      </c>
      <c r="C26" s="10">
        <v>2305362140202.3999</v>
      </c>
      <c r="D26" s="6">
        <v>36605716527808.297</v>
      </c>
      <c r="E26" s="6">
        <v>13522288889410.4</v>
      </c>
    </row>
    <row r="27" spans="1:5" ht="16.8" thickBot="1" x14ac:dyDescent="0.4">
      <c r="A27" s="1">
        <v>42401</v>
      </c>
      <c r="B27" s="9">
        <v>7.9258799469666505E-2</v>
      </c>
      <c r="C27" s="10">
        <v>2949817277237.3999</v>
      </c>
      <c r="D27" s="6">
        <v>36843248724402.797</v>
      </c>
      <c r="E27" s="6">
        <v>16193775466163.699</v>
      </c>
    </row>
    <row r="28" spans="1:5" ht="16.8" thickBot="1" x14ac:dyDescent="0.4">
      <c r="A28" s="1">
        <v>42430</v>
      </c>
      <c r="B28" s="9">
        <v>9.4052911345863896E-2</v>
      </c>
      <c r="C28" s="10">
        <v>3509748898726.3599</v>
      </c>
      <c r="D28" s="6">
        <v>37085165850070.898</v>
      </c>
      <c r="E28" s="6">
        <v>18207922051078.602</v>
      </c>
    </row>
    <row r="29" spans="1:5" ht="16.8" thickBot="1" x14ac:dyDescent="0.4">
      <c r="A29" s="1">
        <v>42461</v>
      </c>
      <c r="B29" s="9">
        <v>8.2028749563870795E-2</v>
      </c>
      <c r="C29" s="10">
        <v>3086119953060.25</v>
      </c>
      <c r="D29" s="6">
        <v>37361992075092.203</v>
      </c>
      <c r="E29" s="6">
        <v>18271237279106.602</v>
      </c>
    </row>
    <row r="30" spans="1:5" ht="16.8" thickBot="1" x14ac:dyDescent="0.4">
      <c r="A30" s="1">
        <v>42491</v>
      </c>
      <c r="B30" s="9">
        <v>8.5176958597164801E-2</v>
      </c>
      <c r="C30" s="10">
        <v>3228527030434.7998</v>
      </c>
      <c r="D30" s="6">
        <v>37648446598129.398</v>
      </c>
      <c r="E30" s="6">
        <v>18338647483195.898</v>
      </c>
    </row>
    <row r="31" spans="1:5" ht="16.8" thickBot="1" x14ac:dyDescent="0.4">
      <c r="A31" s="1">
        <v>42522</v>
      </c>
      <c r="B31" s="9">
        <v>8.3139409063477707E-2</v>
      </c>
      <c r="C31" s="10">
        <v>3167369465083.3398</v>
      </c>
      <c r="D31" s="6">
        <v>37960614021622.5</v>
      </c>
      <c r="E31" s="6">
        <v>18446881553434.301</v>
      </c>
    </row>
    <row r="32" spans="1:5" ht="16.8" thickBot="1" x14ac:dyDescent="0.4">
      <c r="A32" s="1">
        <v>42552</v>
      </c>
      <c r="B32" s="9">
        <v>7.7859643266832895E-2</v>
      </c>
      <c r="C32" s="10">
        <v>2978313201706.5601</v>
      </c>
      <c r="D32" s="6">
        <v>38170690975907.398</v>
      </c>
      <c r="E32" s="6">
        <v>18415863584041.301</v>
      </c>
    </row>
    <row r="33" spans="1:5" ht="16.8" thickBot="1" x14ac:dyDescent="0.4">
      <c r="A33" s="1">
        <v>42583</v>
      </c>
      <c r="B33" s="9">
        <v>8.3757933166193496E-2</v>
      </c>
      <c r="C33" s="10">
        <v>3216349637309.8599</v>
      </c>
      <c r="D33" s="6">
        <v>38524885645809.102</v>
      </c>
      <c r="E33" s="6">
        <v>18533459878643.801</v>
      </c>
    </row>
    <row r="34" spans="1:5" ht="16.8" thickBot="1" x14ac:dyDescent="0.4">
      <c r="A34" s="1">
        <v>42614</v>
      </c>
      <c r="B34" s="9">
        <v>8.3708991327487201E-2</v>
      </c>
      <c r="C34" s="10">
        <v>3232823021064.7402</v>
      </c>
      <c r="D34" s="6">
        <v>38826161759049.797</v>
      </c>
      <c r="E34" s="6">
        <v>18649950223402.602</v>
      </c>
    </row>
    <row r="35" spans="1:5" ht="16.8" thickBot="1" x14ac:dyDescent="0.4">
      <c r="A35" s="1">
        <v>42644</v>
      </c>
      <c r="B35" s="9">
        <v>7.9600288391895896E-2</v>
      </c>
      <c r="C35" s="10">
        <v>3084832337562.0498</v>
      </c>
      <c r="D35" s="6">
        <v>39082003504297.297</v>
      </c>
      <c r="E35" s="6">
        <v>18692246082701.5</v>
      </c>
    </row>
    <row r="36" spans="1:5" ht="16.8" thickBot="1" x14ac:dyDescent="0.4">
      <c r="A36" s="1">
        <v>42675</v>
      </c>
      <c r="B36" s="9">
        <v>8.2046986700456806E-2</v>
      </c>
      <c r="C36" s="10">
        <v>3211927786385.04</v>
      </c>
      <c r="D36" s="6">
        <v>39481294430224.203</v>
      </c>
      <c r="E36" s="6">
        <v>18778496543572.898</v>
      </c>
    </row>
    <row r="37" spans="1:5" ht="16.8" thickBot="1" x14ac:dyDescent="0.4">
      <c r="A37" s="1">
        <v>42705</v>
      </c>
      <c r="B37" s="9">
        <v>8.4380670594579807E-2</v>
      </c>
      <c r="C37" s="10">
        <v>3280627283040.6699</v>
      </c>
      <c r="D37" s="6">
        <v>39721711875317.703</v>
      </c>
      <c r="E37" s="6">
        <v>18929382670498.602</v>
      </c>
    </row>
    <row r="38" spans="1:5" ht="16.8" thickBot="1" x14ac:dyDescent="0.4">
      <c r="A38" s="1">
        <v>42736</v>
      </c>
      <c r="B38" s="9">
        <v>8.7692514574177705E-2</v>
      </c>
      <c r="C38" s="10">
        <v>3413965655328.4399</v>
      </c>
      <c r="D38" s="6">
        <v>38613026065500.5</v>
      </c>
      <c r="E38" s="6">
        <v>20901024007897.199</v>
      </c>
    </row>
    <row r="39" spans="1:5" ht="16.8" thickBot="1" x14ac:dyDescent="0.4">
      <c r="A39" s="1">
        <v>42767</v>
      </c>
      <c r="B39" s="9">
        <v>7.6713296718701099E-2</v>
      </c>
      <c r="C39" s="10">
        <v>3021486954041.1099</v>
      </c>
      <c r="D39" s="6">
        <v>38945501216444.398</v>
      </c>
      <c r="E39" s="6">
        <v>19201038344201.301</v>
      </c>
    </row>
    <row r="40" spans="1:5" ht="16.8" thickBot="1" x14ac:dyDescent="0.4">
      <c r="A40" s="1">
        <v>42795</v>
      </c>
      <c r="B40" s="9">
        <v>8.7312216229452594E-2</v>
      </c>
      <c r="C40" s="10">
        <v>3457575226847.8501</v>
      </c>
      <c r="D40" s="6">
        <v>39296760835062.102</v>
      </c>
      <c r="E40" s="6">
        <v>19422206865271.898</v>
      </c>
    </row>
    <row r="41" spans="1:5" ht="16.8" thickBot="1" x14ac:dyDescent="0.4">
      <c r="A41" s="1">
        <v>42826</v>
      </c>
      <c r="B41" s="9">
        <v>7.62503059119988E-2</v>
      </c>
      <c r="C41" s="10">
        <v>3044267610022.8301</v>
      </c>
      <c r="D41" s="6">
        <v>39590784324130.5</v>
      </c>
      <c r="E41" s="6">
        <v>19227168078306.898</v>
      </c>
    </row>
    <row r="42" spans="1:5" ht="16.8" thickBot="1" x14ac:dyDescent="0.4">
      <c r="A42" s="1">
        <v>42856</v>
      </c>
      <c r="B42" s="9">
        <v>8.6109620048612306E-2</v>
      </c>
      <c r="C42" s="10">
        <v>3449320471430.4102</v>
      </c>
      <c r="D42" s="6">
        <v>39861572821152.898</v>
      </c>
      <c r="E42" s="6">
        <v>19361877496373.301</v>
      </c>
    </row>
    <row r="43" spans="1:5" ht="16.8" thickBot="1" x14ac:dyDescent="0.4">
      <c r="A43" s="1">
        <v>42887</v>
      </c>
      <c r="B43" s="9">
        <v>8.0996293789181398E-2</v>
      </c>
      <c r="C43" s="10">
        <v>3259998721264.2402</v>
      </c>
      <c r="D43" s="6">
        <v>40152751742048.797</v>
      </c>
      <c r="E43" s="6">
        <v>19385246751357.699</v>
      </c>
    </row>
    <row r="44" spans="1:5" ht="16.8" thickBot="1" x14ac:dyDescent="0.4">
      <c r="A44" s="1">
        <v>42917</v>
      </c>
      <c r="B44" s="9">
        <v>7.8148877250122706E-2</v>
      </c>
      <c r="C44" s="10">
        <v>3186560019573.1499</v>
      </c>
      <c r="D44" s="6">
        <v>40591906653062.102</v>
      </c>
      <c r="E44" s="6">
        <v>19421538608962.898</v>
      </c>
    </row>
    <row r="45" spans="1:5" ht="16.8" thickBot="1" x14ac:dyDescent="0.4">
      <c r="A45" s="1">
        <v>42948</v>
      </c>
      <c r="B45" s="9">
        <v>8.1587514800539093E-2</v>
      </c>
      <c r="C45" s="10">
        <v>3326035060368.1802</v>
      </c>
      <c r="D45" s="6">
        <v>40847430978567.703</v>
      </c>
      <c r="E45" s="6">
        <v>19481180039819</v>
      </c>
    </row>
    <row r="46" spans="1:5" ht="16.8" thickBot="1" x14ac:dyDescent="0.4">
      <c r="A46" s="1">
        <v>42979</v>
      </c>
      <c r="B46" s="9">
        <v>8.3674745049440696E-2</v>
      </c>
      <c r="C46" s="10">
        <v>3429757321135.0698</v>
      </c>
      <c r="D46" s="6">
        <v>41134659264148.297</v>
      </c>
      <c r="E46" s="6">
        <v>19542223034606.398</v>
      </c>
    </row>
    <row r="47" spans="1:5" ht="16.8" thickBot="1" x14ac:dyDescent="0.4">
      <c r="A47" s="1">
        <v>43009</v>
      </c>
      <c r="B47" s="9">
        <v>8.04403757790777E-2</v>
      </c>
      <c r="C47" s="10">
        <v>3312390406164.6802</v>
      </c>
      <c r="D47" s="6">
        <v>41495506714736.398</v>
      </c>
      <c r="E47" s="6">
        <v>19598894116891.102</v>
      </c>
    </row>
    <row r="48" spans="1:5" ht="16.8" thickBot="1" x14ac:dyDescent="0.4">
      <c r="A48" s="1">
        <v>43040</v>
      </c>
      <c r="B48" s="9">
        <v>8.4291083899996497E-2</v>
      </c>
      <c r="C48" s="10">
        <v>3483624902402.77</v>
      </c>
      <c r="D48" s="6">
        <v>41707412699629.797</v>
      </c>
      <c r="E48" s="6">
        <v>19685755985160.699</v>
      </c>
    </row>
    <row r="49" spans="1:5" ht="16.8" thickBot="1" x14ac:dyDescent="0.4">
      <c r="A49" s="1">
        <v>43070</v>
      </c>
      <c r="B49" s="9">
        <v>7.7399530987007595E-2</v>
      </c>
      <c r="C49" s="10">
        <v>3181773292117.98</v>
      </c>
      <c r="D49" s="6">
        <v>42020896387810.602</v>
      </c>
      <c r="E49" s="6">
        <v>19671936933787.398</v>
      </c>
    </row>
    <row r="50" spans="1:5" ht="16.8" thickBot="1" x14ac:dyDescent="0.4">
      <c r="A50" s="1">
        <v>43101</v>
      </c>
      <c r="B50" s="9">
        <v>7.3904342084978397E-2</v>
      </c>
      <c r="C50" s="10">
        <v>3039319910139.25</v>
      </c>
      <c r="D50" s="6">
        <v>40869111344427.898</v>
      </c>
      <c r="E50" s="6">
        <v>19712876936869.199</v>
      </c>
    </row>
    <row r="51" spans="1:5" ht="16.8" thickBot="1" x14ac:dyDescent="0.4">
      <c r="A51" s="1">
        <v>43132</v>
      </c>
      <c r="B51" s="9">
        <v>7.6916518776938295E-2</v>
      </c>
      <c r="C51" s="10">
        <v>3206145945294.2598</v>
      </c>
      <c r="D51" s="6">
        <v>41166024240614.398</v>
      </c>
      <c r="E51" s="6">
        <v>19580780366027.699</v>
      </c>
    </row>
    <row r="52" spans="1:5" ht="16.8" thickBot="1" x14ac:dyDescent="0.4">
      <c r="A52" s="1">
        <v>43160</v>
      </c>
      <c r="B52" s="9">
        <v>8.5231660155362904E-2</v>
      </c>
      <c r="C52" s="10">
        <v>3562951982540.3398</v>
      </c>
      <c r="D52" s="6">
        <v>41365227105041.398</v>
      </c>
      <c r="E52" s="6">
        <v>19797919592714.398</v>
      </c>
    </row>
    <row r="53" spans="1:5" ht="16.8" thickBot="1" x14ac:dyDescent="0.4">
      <c r="A53" s="1">
        <v>43191</v>
      </c>
      <c r="B53" s="9">
        <v>7.9192271753202204E-2</v>
      </c>
      <c r="C53" s="10">
        <v>3329325065602.02</v>
      </c>
      <c r="D53" s="6">
        <v>41673980500301.797</v>
      </c>
      <c r="E53" s="6">
        <v>19881644436694.102</v>
      </c>
    </row>
    <row r="54" spans="1:5" ht="16.8" thickBot="1" x14ac:dyDescent="0.4">
      <c r="A54" s="1">
        <v>43221</v>
      </c>
      <c r="B54" s="9">
        <v>8.6523185535569605E-2</v>
      </c>
      <c r="C54" s="10">
        <v>3656720889204.98</v>
      </c>
      <c r="D54" s="6">
        <v>42009586298309.102</v>
      </c>
      <c r="E54" s="6">
        <v>20038961664556.398</v>
      </c>
    </row>
    <row r="55" spans="1:5" ht="16.8" thickBot="1" x14ac:dyDescent="0.4">
      <c r="A55" s="1">
        <v>43252</v>
      </c>
      <c r="B55" s="9">
        <v>8.4964781897841193E-2</v>
      </c>
      <c r="C55" s="10">
        <v>3607476253590.1499</v>
      </c>
      <c r="D55" s="6">
        <v>42324398003005.5</v>
      </c>
      <c r="E55" s="6">
        <v>20135004074333.301</v>
      </c>
    </row>
    <row r="56" spans="1:5" ht="16.8" thickBot="1" x14ac:dyDescent="0.4">
      <c r="A56" s="1">
        <v>43282</v>
      </c>
      <c r="B56" s="9">
        <v>8.1771641244115303E-2</v>
      </c>
      <c r="C56" s="10">
        <v>3489090390707.7798</v>
      </c>
      <c r="D56" s="6">
        <v>42545322170399.898</v>
      </c>
      <c r="E56" s="6">
        <v>20228954016601.5</v>
      </c>
    </row>
    <row r="57" spans="1:5" ht="16.8" thickBot="1" x14ac:dyDescent="0.4">
      <c r="A57" s="1">
        <v>43313</v>
      </c>
      <c r="B57" s="9">
        <v>8.0553067835532705E-2</v>
      </c>
      <c r="C57" s="10">
        <v>3440117210632.75</v>
      </c>
      <c r="D57" s="6">
        <v>42872373129613.797</v>
      </c>
      <c r="E57" s="6">
        <v>20314059717593.398</v>
      </c>
    </row>
    <row r="58" spans="1:5" ht="16.8" thickBot="1" x14ac:dyDescent="0.4">
      <c r="A58" s="1">
        <v>43344</v>
      </c>
      <c r="B58" s="9">
        <v>8.2593650535471894E-2</v>
      </c>
      <c r="C58" s="10">
        <v>3552921922857.2202</v>
      </c>
      <c r="D58" s="6">
        <v>43201322037794.203</v>
      </c>
      <c r="E58" s="6">
        <v>20346695702021.301</v>
      </c>
    </row>
    <row r="59" spans="1:5" ht="16.8" thickBot="1" x14ac:dyDescent="0.4">
      <c r="A59" s="1">
        <v>43374</v>
      </c>
      <c r="B59" s="9">
        <v>8.0314654923303197E-2</v>
      </c>
      <c r="C59" s="10">
        <v>3458843481933.0298</v>
      </c>
      <c r="D59" s="6">
        <v>43507465112023.797</v>
      </c>
      <c r="E59" s="6">
        <v>20454403157952.699</v>
      </c>
    </row>
    <row r="60" spans="1:5" ht="16.8" thickBot="1" x14ac:dyDescent="0.4">
      <c r="A60" s="1">
        <v>43405</v>
      </c>
      <c r="B60" s="9">
        <v>8.2650840807729997E-2</v>
      </c>
      <c r="C60" s="10">
        <v>3586636947506.9902</v>
      </c>
      <c r="D60" s="6">
        <v>43922274401290.297</v>
      </c>
      <c r="E60" s="6">
        <v>20547004077784.199</v>
      </c>
    </row>
    <row r="61" spans="1:5" ht="16.8" thickBot="1" x14ac:dyDescent="0.4">
      <c r="A61" s="1">
        <v>43435</v>
      </c>
      <c r="B61" s="9">
        <v>8.0937570274055806E-2</v>
      </c>
      <c r="C61" s="10">
        <v>3496486610305.2402</v>
      </c>
      <c r="D61" s="6">
        <v>44225606094950.203</v>
      </c>
      <c r="E61" s="6">
        <v>20705063761060.699</v>
      </c>
    </row>
    <row r="62" spans="1:5" ht="16.8" thickBot="1" x14ac:dyDescent="0.4">
      <c r="A62" s="1">
        <v>43466</v>
      </c>
      <c r="B62" s="9">
        <v>7.0719850284686997E-2</v>
      </c>
      <c r="C62" s="10">
        <v>3161735370855.29</v>
      </c>
      <c r="D62" s="6">
        <v>44529884423917.703</v>
      </c>
      <c r="E62" s="6">
        <v>20567376382610.699</v>
      </c>
    </row>
    <row r="63" spans="1:5" ht="16.8" thickBot="1" x14ac:dyDescent="0.4">
      <c r="A63" s="1">
        <v>43497</v>
      </c>
      <c r="B63" s="9">
        <v>7.9333401279531895E-2</v>
      </c>
      <c r="C63" s="10">
        <v>3603407779099.9199</v>
      </c>
      <c r="D63" s="6">
        <v>44920978262795</v>
      </c>
      <c r="E63" s="6">
        <v>20937970657143.898</v>
      </c>
    </row>
    <row r="64" spans="1:5" ht="16.8" thickBot="1" x14ac:dyDescent="0.4">
      <c r="A64" s="1">
        <v>43525</v>
      </c>
      <c r="B64" s="9">
        <v>8.0241989695840593E-2</v>
      </c>
      <c r="C64" s="10">
        <v>3689327280668.2998</v>
      </c>
      <c r="D64" s="6">
        <v>45302491859668.102</v>
      </c>
      <c r="E64" s="6">
        <v>20843850869548.398</v>
      </c>
    </row>
    <row r="65" spans="1:5" ht="16.8" thickBot="1" x14ac:dyDescent="0.4">
      <c r="A65" s="1">
        <v>43556</v>
      </c>
      <c r="B65" s="9">
        <v>7.85091129979619E-2</v>
      </c>
      <c r="C65" s="10">
        <v>3623563009723.1001</v>
      </c>
      <c r="D65" s="6">
        <v>45694374509986.203</v>
      </c>
      <c r="E65" s="6">
        <v>21117061995179.898</v>
      </c>
    </row>
    <row r="66" spans="1:5" ht="16.8" thickBot="1" x14ac:dyDescent="0.4">
      <c r="A66" s="1">
        <v>43586</v>
      </c>
      <c r="B66" s="9">
        <v>7.5200271616245901E-2</v>
      </c>
      <c r="C66" s="10">
        <v>3487548936297.73</v>
      </c>
      <c r="D66" s="6">
        <v>45997535670123.898</v>
      </c>
      <c r="E66" s="6">
        <v>21209871923098</v>
      </c>
    </row>
    <row r="67" spans="1:5" ht="16.8" thickBot="1" x14ac:dyDescent="0.4">
      <c r="A67" s="1">
        <v>43617</v>
      </c>
      <c r="B67" s="9">
        <v>8.2216672944747493E-2</v>
      </c>
      <c r="C67" s="10">
        <v>3832160253518.54</v>
      </c>
      <c r="D67" s="6">
        <v>46309243364341.203</v>
      </c>
      <c r="E67" s="6">
        <v>21294219935331.301</v>
      </c>
    </row>
    <row r="68" spans="1:5" ht="16.8" thickBot="1" x14ac:dyDescent="0.4">
      <c r="A68" s="1">
        <v>43647</v>
      </c>
      <c r="B68" s="9">
        <v>8.0267677665860696E-2</v>
      </c>
      <c r="C68" s="10">
        <v>3768649957336.98</v>
      </c>
      <c r="D68" s="6">
        <v>46814306243937.703</v>
      </c>
      <c r="E68" s="6">
        <v>21558266164652.5</v>
      </c>
    </row>
    <row r="69" spans="1:5" ht="16.8" thickBot="1" x14ac:dyDescent="0.4">
      <c r="A69" s="1">
        <v>43678</v>
      </c>
      <c r="B69" s="9">
        <v>8.1643388481838802E-2</v>
      </c>
      <c r="C69" s="10">
        <v>3845131768226.25</v>
      </c>
      <c r="D69" s="6">
        <v>47137685804287.797</v>
      </c>
      <c r="E69" s="6">
        <v>21798694277493.301</v>
      </c>
    </row>
    <row r="70" spans="1:5" ht="16.8" thickBot="1" x14ac:dyDescent="0.4">
      <c r="A70" s="1">
        <v>43709</v>
      </c>
      <c r="B70" s="9">
        <v>8.8218300073862693E-2</v>
      </c>
      <c r="C70" s="10">
        <v>4178676478240.8198</v>
      </c>
      <c r="D70" s="6">
        <v>47518956664994.602</v>
      </c>
      <c r="E70" s="6">
        <v>22124609455655.199</v>
      </c>
    </row>
    <row r="71" spans="1:5" ht="16.8" thickBot="1" x14ac:dyDescent="0.4">
      <c r="A71" s="1">
        <v>43739</v>
      </c>
      <c r="B71" s="9">
        <v>8.2151074818905198E-2</v>
      </c>
      <c r="C71" s="10">
        <v>3898806234482.4399</v>
      </c>
      <c r="D71" s="6">
        <v>47938745500854</v>
      </c>
      <c r="E71" s="6">
        <v>22389601934281.801</v>
      </c>
    </row>
    <row r="72" spans="1:5" ht="16.8" thickBot="1" x14ac:dyDescent="0.4">
      <c r="A72" s="1">
        <v>43770</v>
      </c>
      <c r="B72" s="9">
        <v>8.5177806970677297E-2</v>
      </c>
      <c r="C72" s="10">
        <v>4055535758603.1201</v>
      </c>
      <c r="D72" s="6">
        <v>48273491158861.797</v>
      </c>
      <c r="E72" s="6">
        <v>22648948979124</v>
      </c>
    </row>
    <row r="73" spans="1:5" ht="16.8" thickBot="1" x14ac:dyDescent="0.4">
      <c r="A73" s="1">
        <v>43800</v>
      </c>
      <c r="B73" s="9">
        <v>8.2064771100441997E-2</v>
      </c>
      <c r="C73" s="10">
        <v>3897413632014.52</v>
      </c>
      <c r="D73" s="6">
        <v>48730595219502.703</v>
      </c>
      <c r="E73" s="6">
        <v>22972163730756.102</v>
      </c>
    </row>
    <row r="74" spans="1:5" ht="16.8" thickBot="1" x14ac:dyDescent="0.4">
      <c r="A74" s="1">
        <v>43831</v>
      </c>
      <c r="B74" s="9">
        <v>8.1576737347532693E-2</v>
      </c>
      <c r="C74" s="10">
        <v>4019291914922.1499</v>
      </c>
      <c r="D74" s="6">
        <v>49175398817371</v>
      </c>
      <c r="E74" s="6">
        <v>25970261367632.301</v>
      </c>
    </row>
    <row r="75" spans="1:5" ht="16.8" thickBot="1" x14ac:dyDescent="0.4">
      <c r="A75" s="1">
        <v>43862</v>
      </c>
      <c r="B75" s="9">
        <v>7.5083220399734696E-2</v>
      </c>
      <c r="C75" s="10">
        <v>3753379301779.9102</v>
      </c>
      <c r="D75" s="6">
        <v>49577418191926.203</v>
      </c>
      <c r="E75" s="6">
        <v>23835806061624</v>
      </c>
    </row>
    <row r="76" spans="1:5" ht="16.8" thickBot="1" x14ac:dyDescent="0.4">
      <c r="A76" s="1">
        <v>43891</v>
      </c>
      <c r="B76" s="9">
        <v>8.58992804234852E-2</v>
      </c>
      <c r="C76" s="10">
        <v>4362252634654.6099</v>
      </c>
      <c r="D76" s="6">
        <v>50162772742299.703</v>
      </c>
      <c r="E76" s="6">
        <v>24402392648809.898</v>
      </c>
    </row>
    <row r="77" spans="1:5" ht="16.8" thickBot="1" x14ac:dyDescent="0.4">
      <c r="A77" s="1">
        <v>43922</v>
      </c>
      <c r="B77" s="9">
        <v>8.1812959146415704E-2</v>
      </c>
      <c r="C77" s="10">
        <v>4274899742072.8599</v>
      </c>
      <c r="D77" s="6">
        <v>51812961343357</v>
      </c>
      <c r="E77" s="6">
        <v>24608360826248.699</v>
      </c>
    </row>
    <row r="78" spans="1:5" ht="16.8" thickBot="1" x14ac:dyDescent="0.4">
      <c r="A78" s="1">
        <v>43952</v>
      </c>
      <c r="B78" s="9">
        <v>8.2879711956215005E-2</v>
      </c>
      <c r="C78" s="10">
        <v>4383202212441.9199</v>
      </c>
      <c r="D78" s="6">
        <v>52380632230405</v>
      </c>
      <c r="E78" s="6">
        <v>24920848219052.398</v>
      </c>
    </row>
    <row r="79" spans="1:5" ht="16.8" thickBot="1" x14ac:dyDescent="0.4">
      <c r="A79" s="1">
        <v>43983</v>
      </c>
      <c r="B79" s="9">
        <v>9.3483672618282401E-2</v>
      </c>
      <c r="C79" s="10">
        <v>4977574313854.0195</v>
      </c>
      <c r="D79" s="6">
        <v>52910851370285.602</v>
      </c>
      <c r="E79" s="6">
        <v>25518425340797.898</v>
      </c>
    </row>
    <row r="80" spans="1:5" ht="16.8" thickBot="1" x14ac:dyDescent="0.4">
      <c r="A80" s="1">
        <v>44013</v>
      </c>
      <c r="B80" s="9">
        <v>8.4457918854705896E-2</v>
      </c>
      <c r="C80" s="10">
        <v>4508479036264.3096</v>
      </c>
      <c r="D80" s="6">
        <v>53339862198957.898</v>
      </c>
      <c r="E80" s="6">
        <v>25766857368861.699</v>
      </c>
    </row>
    <row r="81" spans="1:5" ht="16.8" thickBot="1" x14ac:dyDescent="0.4">
      <c r="A81" s="1">
        <v>44044</v>
      </c>
      <c r="B81" s="9">
        <v>8.0488645813055495E-2</v>
      </c>
      <c r="C81" s="10">
        <v>4467444660248.3398</v>
      </c>
      <c r="D81" s="6">
        <v>55375084847284.602</v>
      </c>
      <c r="E81" s="6">
        <v>25871688713467.199</v>
      </c>
    </row>
    <row r="82" spans="1:5" ht="16.8" thickBot="1" x14ac:dyDescent="0.4">
      <c r="A82" s="1">
        <v>44075</v>
      </c>
      <c r="B82" s="9">
        <v>8.0676790679165E-2</v>
      </c>
      <c r="C82" s="10">
        <v>4505606239304.3701</v>
      </c>
      <c r="D82" s="6">
        <v>55930124435138.898</v>
      </c>
      <c r="E82" s="6">
        <v>26142931096027.199</v>
      </c>
    </row>
    <row r="83" spans="1:5" ht="16.8" thickBot="1" x14ac:dyDescent="0.4">
      <c r="A83" s="1">
        <v>44105</v>
      </c>
      <c r="B83" s="9">
        <v>8.5713562725451095E-2</v>
      </c>
      <c r="C83" s="10">
        <v>4801474637883.9102</v>
      </c>
      <c r="D83" s="6">
        <v>56380106845734.898</v>
      </c>
      <c r="E83" s="6">
        <v>26420399431928</v>
      </c>
    </row>
    <row r="84" spans="1:5" ht="16.8" thickBot="1" x14ac:dyDescent="0.4">
      <c r="A84" s="1">
        <v>44136</v>
      </c>
      <c r="B84" s="9">
        <v>8.9583985956087395E-2</v>
      </c>
      <c r="C84" s="10">
        <v>5037519443542.9102</v>
      </c>
      <c r="D84" s="6">
        <v>56906636963300.797</v>
      </c>
      <c r="E84" s="6">
        <v>26734635726104.301</v>
      </c>
    </row>
    <row r="85" spans="1:5" ht="16.8" thickBot="1" x14ac:dyDescent="0.4">
      <c r="A85" s="1">
        <v>44166</v>
      </c>
      <c r="B85" s="9">
        <v>7.7379423509926701E-2</v>
      </c>
      <c r="C85" s="10">
        <v>4337375593636.4902</v>
      </c>
      <c r="D85" s="6">
        <v>57272459188175.398</v>
      </c>
      <c r="E85" s="6">
        <v>26806704354191.699</v>
      </c>
    </row>
    <row r="86" spans="1:5" ht="16.8" thickBot="1" x14ac:dyDescent="0.4">
      <c r="A86" s="1">
        <v>44197</v>
      </c>
      <c r="B86" s="9">
        <v>8.6026543178650799E-2</v>
      </c>
      <c r="C86" s="10">
        <v>4539206895370.75</v>
      </c>
      <c r="D86" s="6">
        <v>52425360037096.297</v>
      </c>
      <c r="E86" s="6">
        <v>27178294393512.699</v>
      </c>
    </row>
    <row r="87" spans="1:5" ht="16.8" thickBot="1" x14ac:dyDescent="0.4">
      <c r="A87" s="1">
        <v>44228</v>
      </c>
      <c r="B87" s="9">
        <v>8.5053657854308198E-2</v>
      </c>
      <c r="C87" s="10">
        <v>4536150826848.9199</v>
      </c>
      <c r="D87" s="6">
        <v>52894882897886.898</v>
      </c>
      <c r="E87" s="6">
        <v>27149462362277.602</v>
      </c>
    </row>
    <row r="88" spans="1:5" ht="16.8" thickBot="1" x14ac:dyDescent="0.4">
      <c r="A88" s="1">
        <v>44256</v>
      </c>
      <c r="B88" s="9">
        <v>8.0097498054469904E-2</v>
      </c>
      <c r="C88" s="10">
        <v>4302776227068.3501</v>
      </c>
      <c r="D88" s="6">
        <v>53273357290003.297</v>
      </c>
      <c r="E88" s="6">
        <v>27232165510555.301</v>
      </c>
    </row>
    <row r="89" spans="1:5" ht="16.8" thickBot="1" x14ac:dyDescent="0.4">
      <c r="A89" s="1">
        <v>44287</v>
      </c>
      <c r="B89" s="9">
        <v>8.9463275102452305E-2</v>
      </c>
      <c r="C89" s="10">
        <v>4855617693232.0195</v>
      </c>
      <c r="D89" s="6">
        <v>53907576122425.5</v>
      </c>
      <c r="E89" s="6">
        <v>27487710117628.301</v>
      </c>
    </row>
    <row r="90" spans="1:5" ht="16.8" thickBot="1" x14ac:dyDescent="0.4">
      <c r="A90" s="1">
        <v>44317</v>
      </c>
      <c r="B90" s="9">
        <v>8.4376630189096899E-2</v>
      </c>
      <c r="C90" s="10">
        <v>4614396682947.8701</v>
      </c>
      <c r="D90" s="6">
        <v>54360249577527.398</v>
      </c>
      <c r="E90" s="6">
        <v>27659263793668.102</v>
      </c>
    </row>
    <row r="91" spans="1:5" ht="16.8" thickBot="1" x14ac:dyDescent="0.4">
      <c r="A91" s="1">
        <v>44348</v>
      </c>
      <c r="B91" s="9">
        <v>8.0220779866234201E-2</v>
      </c>
      <c r="C91" s="10">
        <v>4412936442221.5596</v>
      </c>
      <c r="D91" s="6">
        <v>54768197225495.898</v>
      </c>
      <c r="E91" s="6">
        <v>27594598706028.699</v>
      </c>
    </row>
    <row r="92" spans="1:5" ht="16.8" thickBot="1" x14ac:dyDescent="0.4">
      <c r="A92" s="1">
        <v>44378</v>
      </c>
      <c r="B92" s="9">
        <v>8.8422439121743204E-2</v>
      </c>
      <c r="C92" s="10">
        <v>4987002515841.4102</v>
      </c>
      <c r="D92" s="6">
        <v>56658515469299.797</v>
      </c>
      <c r="E92" s="6">
        <v>27742966293907.398</v>
      </c>
    </row>
    <row r="93" spans="1:5" ht="16.8" thickBot="1" x14ac:dyDescent="0.4">
      <c r="A93" s="1">
        <v>44409</v>
      </c>
      <c r="B93" s="9">
        <v>0.104035577676185</v>
      </c>
      <c r="C93" s="10">
        <v>5958977376567.9102</v>
      </c>
      <c r="D93" s="6">
        <v>57390329980984.898</v>
      </c>
      <c r="E93" s="6">
        <v>28219108532224.398</v>
      </c>
    </row>
    <row r="94" spans="1:5" ht="16.8" thickBot="1" x14ac:dyDescent="0.4">
      <c r="A94" s="1">
        <v>44440</v>
      </c>
      <c r="B94" s="9">
        <v>8.3461369075938902E-2</v>
      </c>
      <c r="C94" s="10">
        <v>4805610072251.8896</v>
      </c>
      <c r="D94" s="6">
        <v>57786318343893.5</v>
      </c>
      <c r="E94" s="6">
        <v>28279617736164.199</v>
      </c>
    </row>
    <row r="95" spans="1:5" ht="16.8" thickBot="1" x14ac:dyDescent="0.4">
      <c r="A95" s="1">
        <v>44470</v>
      </c>
      <c r="B95" s="9">
        <v>8.4512024969777805E-2</v>
      </c>
      <c r="C95" s="10">
        <v>5029169194949.5498</v>
      </c>
      <c r="D95" s="6">
        <v>59816388503659.898</v>
      </c>
      <c r="E95" s="6">
        <v>28431929823186</v>
      </c>
    </row>
    <row r="96" spans="1:5" ht="16.8" thickBot="1" x14ac:dyDescent="0.4">
      <c r="A96" s="1">
        <v>44501</v>
      </c>
      <c r="B96" s="9">
        <v>8.0321219619475304E-2</v>
      </c>
      <c r="C96" s="10">
        <v>4796572523249.5098</v>
      </c>
      <c r="D96" s="6">
        <v>60399200975177.898</v>
      </c>
      <c r="E96" s="6">
        <v>28527875976198</v>
      </c>
    </row>
    <row r="97" spans="1:5" ht="16.8" thickBot="1" x14ac:dyDescent="0.4">
      <c r="A97" s="1">
        <v>44531</v>
      </c>
      <c r="B97" s="9">
        <v>8.5514053889586106E-2</v>
      </c>
      <c r="C97" s="10">
        <v>5156670527211.4805</v>
      </c>
      <c r="D97" s="6">
        <v>61087429215514.5</v>
      </c>
      <c r="E97" s="6">
        <v>28749183377311.102</v>
      </c>
    </row>
    <row r="98" spans="1:5" ht="16.8" thickBot="1" x14ac:dyDescent="0.4">
      <c r="A98" s="1">
        <v>44562</v>
      </c>
      <c r="B98" s="9">
        <v>8.2978336859101998E-2</v>
      </c>
      <c r="C98" s="10">
        <v>4849866190681.8096</v>
      </c>
      <c r="D98" s="6">
        <v>57846200499898.398</v>
      </c>
      <c r="E98" s="6">
        <v>28698121387321.199</v>
      </c>
    </row>
    <row r="99" spans="1:5" ht="16.8" thickBot="1" x14ac:dyDescent="0.4">
      <c r="A99" s="1">
        <v>44593</v>
      </c>
      <c r="B99" s="9">
        <v>8.2612966407060201E-2</v>
      </c>
      <c r="C99" s="10">
        <v>4877654857688.8799</v>
      </c>
      <c r="D99" s="6">
        <v>58375671229050.203</v>
      </c>
      <c r="E99" s="6">
        <v>28655634508745</v>
      </c>
    </row>
    <row r="100" spans="1:5" ht="16.8" thickBot="1" x14ac:dyDescent="0.4">
      <c r="A100" s="1">
        <v>44621</v>
      </c>
      <c r="B100" s="9">
        <v>9.2040236759519903E-2</v>
      </c>
      <c r="C100" s="10">
        <v>5470162090523.5703</v>
      </c>
      <c r="D100" s="6">
        <v>58843096014571</v>
      </c>
      <c r="E100" s="6">
        <v>31224767160368.5</v>
      </c>
    </row>
    <row r="101" spans="1:5" ht="16.8" thickBot="1" x14ac:dyDescent="0.4">
      <c r="A101" s="1">
        <v>44652</v>
      </c>
      <c r="B101" s="9">
        <v>9.5717233325832193E-2</v>
      </c>
      <c r="C101" s="10">
        <v>5803162482693.5596</v>
      </c>
      <c r="D101" s="6">
        <v>60238313968573.602</v>
      </c>
      <c r="E101" s="6">
        <v>31766458312834.301</v>
      </c>
    </row>
    <row r="102" spans="1:5" ht="16.8" thickBot="1" x14ac:dyDescent="0.4">
      <c r="A102" s="1">
        <v>44682</v>
      </c>
      <c r="B102" s="9">
        <v>8.40673195599273E-2</v>
      </c>
      <c r="C102" s="10">
        <v>5193174639787.8301</v>
      </c>
      <c r="D102" s="6">
        <v>61643955135207</v>
      </c>
      <c r="E102" s="6">
        <v>31798640024019.699</v>
      </c>
    </row>
    <row r="103" spans="1:5" ht="16.8" thickBot="1" x14ac:dyDescent="0.4">
      <c r="A103" s="1">
        <v>44713</v>
      </c>
      <c r="B103" s="9">
        <v>8.7065646821639697E-2</v>
      </c>
      <c r="C103" s="10">
        <v>5451549693853.4297</v>
      </c>
      <c r="D103" s="6">
        <v>62330156591320.102</v>
      </c>
      <c r="E103" s="6">
        <v>32188113271745.898</v>
      </c>
    </row>
    <row r="104" spans="1:5" ht="16.8" thickBot="1" x14ac:dyDescent="0.4">
      <c r="A104" s="1">
        <v>44743</v>
      </c>
      <c r="B104" s="9">
        <v>9.5044926704851498E-2</v>
      </c>
      <c r="C104" s="10">
        <v>6124137033114.0596</v>
      </c>
      <c r="D104" s="6">
        <v>64822573968722.898</v>
      </c>
      <c r="E104" s="6">
        <v>32626280821381.102</v>
      </c>
    </row>
    <row r="105" spans="1:5" ht="16.8" thickBot="1" x14ac:dyDescent="0.4">
      <c r="A105" s="1">
        <v>44774</v>
      </c>
      <c r="B105" s="9">
        <v>8.5115337816090694E-2</v>
      </c>
      <c r="C105" s="10">
        <v>5511885393844.1201</v>
      </c>
      <c r="D105" s="6">
        <v>65320777626658.797</v>
      </c>
      <c r="E105" s="6">
        <v>32746914836724.699</v>
      </c>
    </row>
    <row r="106" spans="1:5" ht="16.8" thickBot="1" x14ac:dyDescent="0.4">
      <c r="A106" s="1">
        <v>44805</v>
      </c>
      <c r="B106" s="9">
        <v>8.7378968833408996E-2</v>
      </c>
      <c r="C106" s="10">
        <v>5735292271125.0703</v>
      </c>
      <c r="D106" s="6">
        <v>65987203293784.203</v>
      </c>
      <c r="E106" s="6">
        <v>33117428345973.5</v>
      </c>
    </row>
    <row r="107" spans="1:5" ht="16.8" thickBot="1" x14ac:dyDescent="0.4">
      <c r="A107" s="1">
        <v>44835</v>
      </c>
      <c r="B107" s="9">
        <v>8.6743171212498305E-2</v>
      </c>
      <c r="C107" s="10">
        <v>5760958679166.0898</v>
      </c>
      <c r="D107" s="6">
        <v>66755859907665.602</v>
      </c>
      <c r="E107" s="6">
        <v>33414042168317.301</v>
      </c>
    </row>
    <row r="108" spans="1:5" ht="16.8" thickBot="1" x14ac:dyDescent="0.4">
      <c r="A108" s="1">
        <v>44866</v>
      </c>
      <c r="B108" s="9">
        <v>8.6507631928772102E-2</v>
      </c>
      <c r="C108" s="10">
        <v>5840692895829.4297</v>
      </c>
      <c r="D108" s="6">
        <v>68273663120188.797</v>
      </c>
      <c r="E108" s="6">
        <v>33731920500849.398</v>
      </c>
    </row>
    <row r="109" spans="1:5" ht="16.8" thickBot="1" x14ac:dyDescent="0.4">
      <c r="A109" s="1">
        <v>44896</v>
      </c>
      <c r="B109" s="9">
        <v>9.64104536681816E-2</v>
      </c>
      <c r="C109" s="10">
        <v>6895603875609.5898</v>
      </c>
      <c r="D109" s="6">
        <v>72059133770069.906</v>
      </c>
      <c r="E109" s="6">
        <v>34267282510084.699</v>
      </c>
    </row>
    <row r="110" spans="1:5" ht="16.8" thickBot="1" x14ac:dyDescent="0.4">
      <c r="A110" s="1">
        <v>44927</v>
      </c>
      <c r="B110" s="9">
        <v>9.2471279405915999E-2</v>
      </c>
      <c r="C110" s="10">
        <v>6399483481327.5</v>
      </c>
      <c r="D110" s="6">
        <v>68535000985405.602</v>
      </c>
      <c r="E110" s="6">
        <v>38409144059862.398</v>
      </c>
    </row>
    <row r="111" spans="1:5" ht="16.8" thickBot="1" x14ac:dyDescent="0.4">
      <c r="A111" s="1">
        <v>44958</v>
      </c>
      <c r="B111" s="9">
        <v>8.7646054564928605E-2</v>
      </c>
      <c r="C111" s="10">
        <v>6140470203318.4297</v>
      </c>
      <c r="D111" s="6">
        <v>69226113390794.102</v>
      </c>
      <c r="E111" s="6">
        <v>35162597310269</v>
      </c>
    </row>
    <row r="112" spans="1:5" ht="16.8" thickBot="1" x14ac:dyDescent="0.4">
      <c r="A112" s="1">
        <v>44986</v>
      </c>
      <c r="B112" s="9">
        <v>7.8807918960605294E-2</v>
      </c>
      <c r="C112" s="10">
        <v>5590541210762.8301</v>
      </c>
      <c r="D112" s="6">
        <v>69988087351410.203</v>
      </c>
      <c r="E112" s="6">
        <v>35460196472468.5</v>
      </c>
    </row>
    <row r="113" spans="1:5" ht="16.8" thickBot="1" x14ac:dyDescent="0.4">
      <c r="A113" s="1">
        <v>45017</v>
      </c>
      <c r="B113" s="9">
        <v>8.4964481733083894E-2</v>
      </c>
      <c r="C113" s="10">
        <v>6029010056283.1104</v>
      </c>
      <c r="D113" s="6">
        <v>70485602564559.203</v>
      </c>
      <c r="E113" s="6">
        <v>35434648252190.203</v>
      </c>
    </row>
    <row r="114" spans="1:5" ht="16.8" thickBot="1" x14ac:dyDescent="0.4">
      <c r="A114" s="1">
        <v>45047</v>
      </c>
      <c r="B114" s="9">
        <v>9.04035060797512E-2</v>
      </c>
      <c r="C114" s="10">
        <v>6437539783254.1396</v>
      </c>
      <c r="D114" s="6">
        <v>71180650486938.297</v>
      </c>
      <c r="E114" s="6">
        <v>36067915906594.5</v>
      </c>
    </row>
    <row r="115" spans="1:5" ht="16.8" thickBot="1" x14ac:dyDescent="0.4">
      <c r="A115" s="1">
        <v>45078</v>
      </c>
      <c r="B115" s="9">
        <v>8.1232046453651702E-2</v>
      </c>
      <c r="C115" s="10">
        <v>5863892409962.2002</v>
      </c>
      <c r="D115" s="6">
        <v>71878053121680.797</v>
      </c>
      <c r="E115" s="6">
        <v>36333473668503.203</v>
      </c>
    </row>
    <row r="116" spans="1:5" ht="16.8" thickBot="1" x14ac:dyDescent="0.4">
      <c r="A116" s="1">
        <v>45108</v>
      </c>
      <c r="B116" s="9">
        <v>8.2680230139998395E-2</v>
      </c>
      <c r="C116" s="10">
        <v>5953251764265.1201</v>
      </c>
      <c r="D116" s="6">
        <v>72384501492022.906</v>
      </c>
      <c r="E116" s="6">
        <v>36526613321272.297</v>
      </c>
    </row>
    <row r="117" spans="1:5" ht="16.8" thickBot="1" x14ac:dyDescent="0.4">
      <c r="A117" s="1">
        <v>45139</v>
      </c>
      <c r="B117" s="9">
        <v>8.1372366208738098E-2</v>
      </c>
      <c r="C117" s="10">
        <v>5880377750242.0596</v>
      </c>
      <c r="D117" s="6">
        <v>73030885631114.703</v>
      </c>
      <c r="E117" s="6">
        <v>36948076780272.398</v>
      </c>
    </row>
    <row r="118" spans="1:5" ht="16.8" thickBot="1" x14ac:dyDescent="0.4">
      <c r="A118" s="1">
        <v>45170</v>
      </c>
      <c r="B118" s="9">
        <v>8.8901994004083801E-2</v>
      </c>
      <c r="C118" s="10">
        <v>6538988522600.9502</v>
      </c>
      <c r="D118" s="6">
        <v>73800877421722.406</v>
      </c>
      <c r="E118" s="6">
        <v>37343584662182.398</v>
      </c>
    </row>
    <row r="119" spans="1:5" ht="16.8" thickBot="1" x14ac:dyDescent="0.4">
      <c r="A119" s="1">
        <v>45200</v>
      </c>
      <c r="B119" s="9">
        <v>8.3845193559471301E-2</v>
      </c>
      <c r="C119" s="10">
        <v>6314978708892.3896</v>
      </c>
      <c r="D119" s="6">
        <v>75891785584749.703</v>
      </c>
      <c r="E119" s="6">
        <v>37689568555458.703</v>
      </c>
    </row>
    <row r="120" spans="1:5" ht="16.8" thickBot="1" x14ac:dyDescent="0.4">
      <c r="A120" s="1">
        <v>45231</v>
      </c>
      <c r="B120" s="9">
        <v>8.5073186550348096E-2</v>
      </c>
      <c r="C120" s="10">
        <v>6444446842620.6299</v>
      </c>
      <c r="D120" s="6">
        <v>76635093039934.797</v>
      </c>
      <c r="E120" s="6">
        <v>38165731665117.203</v>
      </c>
    </row>
    <row r="121" spans="1:5" ht="16.8" thickBot="1" x14ac:dyDescent="0.4">
      <c r="A121" s="1">
        <v>45261</v>
      </c>
      <c r="B121" s="9">
        <v>9.1952130275764807E-2</v>
      </c>
      <c r="C121" s="10">
        <v>7079486932784.6602</v>
      </c>
      <c r="D121" s="6">
        <v>77317525732596.906</v>
      </c>
      <c r="E121" s="6">
        <v>38480304481737.898</v>
      </c>
    </row>
    <row r="122" spans="1:5" ht="16.8" thickBot="1" x14ac:dyDescent="0.4">
      <c r="A122" s="1">
        <v>45292</v>
      </c>
      <c r="B122" s="9">
        <v>7.5127429417866695E-2</v>
      </c>
      <c r="C122" s="10">
        <v>6211721972359.4502</v>
      </c>
      <c r="D122" s="6">
        <v>81944243928242.906</v>
      </c>
      <c r="E122" s="6">
        <v>38775331131404.398</v>
      </c>
    </row>
    <row r="123" spans="1:5" ht="16.8" thickBot="1" x14ac:dyDescent="0.4">
      <c r="A123" s="1">
        <v>45323</v>
      </c>
      <c r="B123" s="9">
        <v>8.9619935322301697E-2</v>
      </c>
      <c r="C123" s="10">
        <v>7484235732454.0596</v>
      </c>
      <c r="D123" s="6">
        <v>82606426885707.797</v>
      </c>
      <c r="E123" s="6">
        <v>39598200408417.602</v>
      </c>
    </row>
    <row r="124" spans="1:5" ht="16.8" thickBot="1" x14ac:dyDescent="0.4">
      <c r="A124" s="1">
        <v>45352</v>
      </c>
      <c r="B124" s="9">
        <v>8.0766249702229995E-2</v>
      </c>
      <c r="C124" s="10">
        <v>6831633397381.4697</v>
      </c>
      <c r="D124" s="6">
        <v>83473845167388.594</v>
      </c>
      <c r="E124" s="6">
        <v>40219631318581.203</v>
      </c>
    </row>
    <row r="125" spans="1:5" ht="16.8" thickBot="1" x14ac:dyDescent="0.4">
      <c r="A125" s="1">
        <v>45383</v>
      </c>
      <c r="B125" s="9">
        <v>8.0625930584049404E-2</v>
      </c>
      <c r="C125" s="10">
        <v>6804763976850.75</v>
      </c>
      <c r="D125" s="6">
        <v>84119553770892.594</v>
      </c>
      <c r="E125" s="6">
        <v>40712263524997</v>
      </c>
    </row>
    <row r="126" spans="1:5" ht="16.8" thickBot="1" x14ac:dyDescent="0.4">
      <c r="A126" s="1">
        <v>45413</v>
      </c>
      <c r="B126" s="9">
        <v>8.5050356519002598E-2</v>
      </c>
      <c r="C126" s="10">
        <v>7208413656498</v>
      </c>
      <c r="D126" s="6">
        <v>84826059823558.703</v>
      </c>
      <c r="E126" s="6">
        <v>41366968674241.102</v>
      </c>
    </row>
    <row r="127" spans="1:5" ht="16.8" thickBot="1" x14ac:dyDescent="0.4">
      <c r="A127" s="1">
        <v>45444</v>
      </c>
      <c r="B127" s="9">
        <v>8.4539226494870306E-2</v>
      </c>
      <c r="C127" s="10">
        <v>7257282263627.6299</v>
      </c>
      <c r="D127" s="6">
        <v>85465161517855.5</v>
      </c>
      <c r="E127" s="6">
        <v>41960552221665.297</v>
      </c>
    </row>
    <row r="128" spans="1:5" ht="16.8" thickBot="1" x14ac:dyDescent="0.4">
      <c r="A128" s="1">
        <v>45474</v>
      </c>
      <c r="B128" s="9">
        <v>7.9371942482406296E-2</v>
      </c>
      <c r="C128" s="10">
        <v>6826726918815.7998</v>
      </c>
      <c r="D128" s="6">
        <v>86331578899637.5</v>
      </c>
      <c r="E128" s="6">
        <v>42484760543668.898</v>
      </c>
    </row>
    <row r="129" spans="1:5" ht="16.8" thickBot="1" x14ac:dyDescent="0.4">
      <c r="A129" s="1">
        <v>45505</v>
      </c>
      <c r="B129" s="9">
        <v>7.8114052472375003E-2</v>
      </c>
      <c r="C129" s="10">
        <v>6759561593921.4297</v>
      </c>
      <c r="D129" s="6">
        <v>87071717504314.703</v>
      </c>
      <c r="E129" s="6">
        <v>43051305259321.898</v>
      </c>
    </row>
    <row r="130" spans="1:5" ht="16.8" thickBot="1" x14ac:dyDescent="0.4">
      <c r="A130" s="1">
        <v>45536</v>
      </c>
      <c r="B130" s="9">
        <v>8.7896950315989805E-2</v>
      </c>
      <c r="C130" s="10">
        <v>7708953737149.0195</v>
      </c>
      <c r="D130" s="6">
        <v>87895491479406.297</v>
      </c>
      <c r="E130" s="6">
        <v>43743381988165.297</v>
      </c>
    </row>
    <row r="131" spans="1:5" ht="16.8" thickBot="1" x14ac:dyDescent="0.4">
      <c r="A131" s="1">
        <v>45566</v>
      </c>
      <c r="B131" s="9">
        <v>9.0483862548421196E-2</v>
      </c>
      <c r="C131" s="10">
        <v>7935914085121.6797</v>
      </c>
      <c r="D131" s="6">
        <v>88493095553448.297</v>
      </c>
      <c r="E131" s="6">
        <v>44496205677132.102</v>
      </c>
    </row>
    <row r="132" spans="1:5" ht="16.8" thickBot="1" x14ac:dyDescent="0.4">
      <c r="A132" s="1">
        <v>45597</v>
      </c>
      <c r="B132" s="9">
        <v>8.7245649684903198E-2</v>
      </c>
      <c r="C132" s="10">
        <v>7817943657621.54</v>
      </c>
      <c r="D132" s="6">
        <v>90641430596447.203</v>
      </c>
      <c r="E132" s="6">
        <v>45039220590106.898</v>
      </c>
    </row>
    <row r="133" spans="1:5" ht="16.8" thickBot="1" x14ac:dyDescent="0.4">
      <c r="A133" s="1">
        <v>45627</v>
      </c>
      <c r="B133" s="9">
        <v>9.2754257365083401E-2</v>
      </c>
      <c r="C133" s="10">
        <v>8446434341510.0703</v>
      </c>
      <c r="D133" s="6">
        <v>91427525010427.5</v>
      </c>
      <c r="E133" s="6">
        <v>46055747311949.5</v>
      </c>
    </row>
    <row r="134" spans="1:5" ht="16.8" thickBot="1" x14ac:dyDescent="0.4">
      <c r="A134" s="1">
        <v>45658</v>
      </c>
      <c r="B134" s="9">
        <v>9.4648840148752106E-2</v>
      </c>
      <c r="C134" s="10">
        <v>8803337086709.9805</v>
      </c>
      <c r="D134" s="6">
        <v>92117981650437.203</v>
      </c>
      <c r="E134" s="6">
        <v>53670489712636.5</v>
      </c>
    </row>
    <row r="135" spans="1:5" ht="16.8" thickBot="1" x14ac:dyDescent="0.4">
      <c r="A135" s="1">
        <v>45689</v>
      </c>
      <c r="B135" s="9">
        <v>8.9274952186445003E-2</v>
      </c>
      <c r="C135" s="10">
        <v>8386429039459.7803</v>
      </c>
      <c r="D135" s="6">
        <v>92906054185175.406</v>
      </c>
      <c r="E135" s="6">
        <v>47026030091285.398</v>
      </c>
    </row>
    <row r="136" spans="1:5" ht="16.8" thickBot="1" x14ac:dyDescent="0.4">
      <c r="A136" s="1">
        <v>45717</v>
      </c>
      <c r="B136" s="9">
        <v>8.2178459924033595E-2</v>
      </c>
      <c r="C136" s="10">
        <v>7746238989239.2305</v>
      </c>
      <c r="D136" s="6">
        <v>93473775572342.094</v>
      </c>
      <c r="E136" s="6">
        <v>47421829804938.203</v>
      </c>
    </row>
    <row r="137" spans="1:5" ht="16.8" thickBot="1" x14ac:dyDescent="0.4">
      <c r="A137" s="1">
        <v>45748</v>
      </c>
      <c r="B137" s="9">
        <v>8.7383638646355802E-2</v>
      </c>
      <c r="C137" s="10">
        <v>8264018783506.4502</v>
      </c>
      <c r="D137" s="6">
        <v>94361591637368.297</v>
      </c>
      <c r="E137" s="6">
        <v>48132518637623.102</v>
      </c>
    </row>
    <row r="138" spans="1:5" ht="16.8" thickBot="1" x14ac:dyDescent="0.4">
      <c r="A138" s="1">
        <v>45778</v>
      </c>
      <c r="B138" s="9">
        <v>8.1859991349919198E-2</v>
      </c>
      <c r="C138" s="10">
        <v>7786723613647.7803</v>
      </c>
      <c r="D138" s="6">
        <v>95125262125412.906</v>
      </c>
      <c r="E138" s="6">
        <v>48490388398703.398</v>
      </c>
    </row>
    <row r="139" spans="1:5" ht="16.8" thickBot="1" x14ac:dyDescent="0.4">
      <c r="A139" s="1">
        <v>45809</v>
      </c>
      <c r="B139" s="9">
        <v>8.4499909760430703E-2</v>
      </c>
      <c r="C139" s="10">
        <v>8139649009833.6602</v>
      </c>
      <c r="D139" s="6">
        <v>95920826292208.094</v>
      </c>
      <c r="E139" s="6">
        <v>49037213548821.5</v>
      </c>
    </row>
    <row r="140" spans="1:5" ht="16.8" thickBot="1" x14ac:dyDescent="0.4">
      <c r="A140" s="1">
        <v>45839</v>
      </c>
      <c r="B140" s="9">
        <v>8.9970028400459798E-2</v>
      </c>
      <c r="C140" s="10">
        <v>8701374024078.4805</v>
      </c>
      <c r="D140" s="6">
        <v>96718675747331.094</v>
      </c>
      <c r="E140" s="6">
        <v>49710472697832.5</v>
      </c>
    </row>
    <row r="141" spans="1:5" ht="16.8" thickBot="1" x14ac:dyDescent="0.4">
      <c r="A141" s="1">
        <v>45870</v>
      </c>
      <c r="B141" s="9">
        <v>8.1902054125262899E-2</v>
      </c>
      <c r="C141" s="10">
        <v>7962624933495.4102</v>
      </c>
      <c r="D141" s="6">
        <v>97470440058302.297</v>
      </c>
      <c r="E141" s="6">
        <v>50225979102317.703</v>
      </c>
    </row>
    <row r="142" spans="1:5" ht="16.8" thickBot="1" x14ac:dyDescent="0.4">
      <c r="A142" s="1">
        <v>45901</v>
      </c>
      <c r="B142" s="9">
        <v>7.8544620634035306E-2</v>
      </c>
      <c r="C142" s="10">
        <v>7665434970036.4502</v>
      </c>
      <c r="D142" s="6">
        <v>98087751496131.203</v>
      </c>
      <c r="E142" s="6">
        <v>50662815044691.297</v>
      </c>
    </row>
    <row r="143" spans="1:5" ht="16.8" thickBot="1" x14ac:dyDescent="0.4">
      <c r="A143" s="1">
        <v>45931</v>
      </c>
      <c r="B143" s="9">
        <v>8.3363081531965103E-2</v>
      </c>
      <c r="C143" s="10">
        <v>8175228894320.5498</v>
      </c>
      <c r="D143" s="6">
        <v>98981151670748.906</v>
      </c>
      <c r="E143" s="6">
        <v>51135083400815.297</v>
      </c>
    </row>
    <row r="144" spans="1:5" ht="16.8" thickBot="1" x14ac:dyDescent="0.4">
      <c r="A144" s="1">
        <v>45962</v>
      </c>
      <c r="B144" s="9">
        <v>8.4909452778031094E-2</v>
      </c>
      <c r="C144" s="10">
        <v>8360999002487.3398</v>
      </c>
      <c r="D144" s="6">
        <v>99697199732015.906</v>
      </c>
      <c r="E144" s="6">
        <v>51718975118447.602</v>
      </c>
    </row>
    <row r="145" spans="1:5" ht="16.8" thickBot="1" x14ac:dyDescent="0.4">
      <c r="A145" s="1">
        <v>45992</v>
      </c>
      <c r="B145" s="9">
        <v>7.1722848855008098E-2</v>
      </c>
      <c r="C145" s="10">
        <v>7039749594656.1201</v>
      </c>
      <c r="D145" s="6">
        <v>98718029709985.406</v>
      </c>
      <c r="E145" s="6">
        <v>51789818095407.797</v>
      </c>
    </row>
    <row r="146" spans="1:5" ht="16.2" x14ac:dyDescent="0.35">
      <c r="A146" s="1">
        <v>46023</v>
      </c>
      <c r="B146" s="9">
        <v>8.8611890065537394E-2</v>
      </c>
      <c r="C146" s="10">
        <v>8915922239360.0605</v>
      </c>
      <c r="D146" s="6">
        <v>99541518114128.906</v>
      </c>
      <c r="E146" s="6">
        <v>52880307057857.703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Сезонно скорректированные</vt:lpstr>
      <vt:lpstr>Сезонно скорректированные2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Stepan</dc:creator>
  <cp:lastModifiedBy>Stepan</cp:lastModifiedBy>
  <dcterms:created xsi:type="dcterms:W3CDTF">2025-12-16T16:34:30Z</dcterms:created>
  <dcterms:modified xsi:type="dcterms:W3CDTF">2026-03-16T18:37:01Z</dcterms:modified>
</cp:coreProperties>
</file>